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on\Desktop\"/>
    </mc:Choice>
  </mc:AlternateContent>
  <xr:revisionPtr revIDLastSave="0" documentId="13_ncr:1_{6B901F3E-1AE0-4B73-99E0-CC5252646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현황" sheetId="1" r:id="rId1"/>
    <sheet name="전월" sheetId="2" r:id="rId2"/>
  </sheets>
  <definedNames>
    <definedName name="_xlnm._FilterDatabase" localSheetId="0" hidden="1">재고현황!$A$2:$W$2</definedName>
    <definedName name="_xlnm._FilterDatabase" localSheetId="1" hidden="1">전월!$A$1:$K$1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" i="1" l="1"/>
  <c r="E3" i="1"/>
  <c r="E4" i="1"/>
  <c r="E5" i="1"/>
  <c r="E6" i="1"/>
  <c r="E23" i="1"/>
  <c r="E24" i="1"/>
  <c r="E32" i="1"/>
  <c r="E25" i="1"/>
  <c r="E54" i="1"/>
  <c r="E26" i="1"/>
  <c r="E49" i="1"/>
  <c r="E7" i="1"/>
  <c r="E33" i="1"/>
  <c r="E34" i="1"/>
  <c r="E8" i="1"/>
  <c r="E52" i="1"/>
  <c r="E53" i="1"/>
  <c r="E35" i="1"/>
  <c r="E9" i="1"/>
  <c r="E36" i="1"/>
  <c r="E37" i="1"/>
  <c r="E10" i="1"/>
  <c r="E27" i="1"/>
  <c r="E51" i="1"/>
  <c r="E50" i="1"/>
  <c r="E11" i="1"/>
  <c r="E55" i="1"/>
  <c r="E28" i="1"/>
  <c r="E38" i="1"/>
  <c r="E39" i="1"/>
  <c r="E40" i="1"/>
  <c r="E41" i="1"/>
  <c r="E29" i="1"/>
  <c r="E12" i="1"/>
  <c r="E13" i="1"/>
  <c r="E47" i="1"/>
  <c r="E48" i="1"/>
  <c r="E42" i="1"/>
  <c r="E14" i="1"/>
  <c r="E15" i="1"/>
  <c r="E30" i="1"/>
  <c r="E56" i="1"/>
  <c r="E43" i="1"/>
  <c r="E44" i="1"/>
  <c r="E16" i="1"/>
  <c r="E17" i="1"/>
  <c r="E57" i="1"/>
  <c r="E45" i="1"/>
  <c r="E46" i="1"/>
  <c r="E18" i="1"/>
  <c r="E19" i="1"/>
  <c r="E20" i="1"/>
  <c r="E21" i="1"/>
  <c r="E31" i="1"/>
  <c r="E22" i="1"/>
</calcChain>
</file>

<file path=xl/sharedStrings.xml><?xml version="1.0" encoding="utf-8"?>
<sst xmlns="http://schemas.openxmlformats.org/spreadsheetml/2006/main" count="999" uniqueCount="215">
  <si>
    <t>5700</t>
  </si>
  <si>
    <t>사업자 판매 저장위치</t>
  </si>
  <si>
    <t>FE4CX24160BEI</t>
  </si>
  <si>
    <t>FE4DX23360WHX</t>
  </si>
  <si>
    <t>FE4TX24010BLK</t>
  </si>
  <si>
    <t>JKJGX24272NAY</t>
  </si>
  <si>
    <t>JKJJM23202LLI</t>
  </si>
  <si>
    <t>M</t>
  </si>
  <si>
    <t>JKPNS23102CIN</t>
  </si>
  <si>
    <t>JKTBS23172PSL</t>
  </si>
  <si>
    <t>JKTBX24132PIN</t>
  </si>
  <si>
    <t>JKTCM22274BLK</t>
  </si>
  <si>
    <t>JWTBW22201BLK</t>
  </si>
  <si>
    <t>JWVAX23211KGY</t>
  </si>
  <si>
    <t>QEBDX23901BLK</t>
  </si>
  <si>
    <t>XXX</t>
  </si>
  <si>
    <t>TLJJA24421BLK</t>
  </si>
  <si>
    <t>TLJJW24861GPI</t>
  </si>
  <si>
    <t>XL</t>
  </si>
  <si>
    <t>TLPNA23431BLK</t>
  </si>
  <si>
    <t>TLPNM23531KHA</t>
  </si>
  <si>
    <t>TLPNS23411CHA</t>
  </si>
  <si>
    <t>TLPNW22591BLK</t>
  </si>
  <si>
    <t>TLPOM23695BLK</t>
  </si>
  <si>
    <t>2XL</t>
  </si>
  <si>
    <t>TLTBA23421KGY</t>
  </si>
  <si>
    <t>TLTBA24421MGY</t>
  </si>
  <si>
    <t>TLTBA24431BLK</t>
  </si>
  <si>
    <t>L</t>
  </si>
  <si>
    <t>TLTBS23401BLK</t>
  </si>
  <si>
    <t>TLTBS23401LML</t>
  </si>
  <si>
    <t>TLTBW22531BLK</t>
  </si>
  <si>
    <t>TLTBW23591MML</t>
  </si>
  <si>
    <t>TLTBW23631BLK</t>
  </si>
  <si>
    <t>TLTCM22607DGR</t>
  </si>
  <si>
    <t>TLTCM23699BLK</t>
  </si>
  <si>
    <t>TLTCM23821PMI</t>
  </si>
  <si>
    <t>TLTCM25851BLK</t>
  </si>
  <si>
    <t>TLTCM25851WHX</t>
  </si>
  <si>
    <t>TVJJM23522SBU</t>
  </si>
  <si>
    <t>TVJJW22542DGR</t>
  </si>
  <si>
    <t>TVPNM22572CHA</t>
  </si>
  <si>
    <t>TVPNS23452BLK</t>
  </si>
  <si>
    <t>TVPNW22572LML</t>
  </si>
  <si>
    <t>TVPOM23694KHA</t>
  </si>
  <si>
    <t>S</t>
  </si>
  <si>
    <t>TVSXM23712OWH</t>
  </si>
  <si>
    <t>TVTBS23402OWH</t>
  </si>
  <si>
    <t>TVTBW22522LML</t>
  </si>
  <si>
    <t>TVTBW22572IVO</t>
  </si>
  <si>
    <t>TVTCM23698KHA</t>
  </si>
  <si>
    <t>TVTCM23722BLK</t>
  </si>
  <si>
    <t>VKTCM23732OWH</t>
  </si>
  <si>
    <t>XS</t>
  </si>
  <si>
    <t>VKTCM23742CGR</t>
  </si>
  <si>
    <t>저장위치</t>
  </si>
  <si>
    <t>저장위치명</t>
  </si>
  <si>
    <t>스타일컬러코드</t>
  </si>
  <si>
    <t>사이즈코드</t>
  </si>
  <si>
    <t>전월재고</t>
  </si>
  <si>
    <t>입고</t>
  </si>
  <si>
    <t>입고반품</t>
  </si>
  <si>
    <t>이체입고</t>
  </si>
  <si>
    <t>이체출고</t>
  </si>
  <si>
    <t>자가소모</t>
  </si>
  <si>
    <t>물량이동입고</t>
  </si>
  <si>
    <t>물량이동출고</t>
  </si>
  <si>
    <t>출고</t>
  </si>
  <si>
    <t>출고반품</t>
  </si>
  <si>
    <t>판매</t>
  </si>
  <si>
    <t>판매반품</t>
  </si>
  <si>
    <t>당월재고</t>
  </si>
  <si>
    <t>원가</t>
  </si>
  <si>
    <t>소매가</t>
  </si>
  <si>
    <t>자재</t>
  </si>
  <si>
    <t>자재</t>
    <phoneticPr fontId="0" type="noConversion"/>
  </si>
  <si>
    <t>요청자</t>
  </si>
  <si>
    <t>요청자</t>
    <phoneticPr fontId="0" type="noConversion"/>
  </si>
  <si>
    <t>비고</t>
  </si>
  <si>
    <t>비고</t>
    <phoneticPr fontId="0" type="noConversion"/>
  </si>
  <si>
    <t>23.05.31 현판교</t>
  </si>
  <si>
    <t>김형백</t>
  </si>
  <si>
    <t>VKTCM23742CGRS</t>
  </si>
  <si>
    <t>23.05.30 사업자판매 (10631020) 기표처리 X</t>
  </si>
  <si>
    <t>김석준</t>
  </si>
  <si>
    <t>VKTCM23732OWHXS</t>
  </si>
  <si>
    <t>TVTCM23722BLK85</t>
  </si>
  <si>
    <t>TVTCM23698KHAS</t>
  </si>
  <si>
    <t>23.12.13</t>
  </si>
  <si>
    <t>TVTBW22572IVO90</t>
  </si>
  <si>
    <t>22.11.25 롯대전</t>
  </si>
  <si>
    <t>문성오</t>
  </si>
  <si>
    <t>TVTBW22522LML95</t>
  </si>
  <si>
    <t>23.03.10 AK수원</t>
  </si>
  <si>
    <t>TVTBS23402OWH100</t>
  </si>
  <si>
    <t>23.03.13 현천호 (재고 두개중 한 개만 사업자판매 등록)</t>
  </si>
  <si>
    <t>최진민</t>
  </si>
  <si>
    <t>TVTBS23402OWH95</t>
  </si>
  <si>
    <t>TVSXM23712OWH85</t>
  </si>
  <si>
    <t>TVPOM23694KHAS</t>
  </si>
  <si>
    <t>22.11.22 롯수원</t>
  </si>
  <si>
    <t>TVPNW22572LML65</t>
  </si>
  <si>
    <t>23.03.08 롯동탄</t>
  </si>
  <si>
    <t>TVPNS23452BLK75</t>
  </si>
  <si>
    <t>23.03.13 현천호</t>
  </si>
  <si>
    <t>TVPNS23452BLK70</t>
  </si>
  <si>
    <t>22.05.31 현동구</t>
  </si>
  <si>
    <t>TVPNM22572CHA75</t>
  </si>
  <si>
    <t>정민우</t>
  </si>
  <si>
    <t>24.09.27 롯아울렛율하</t>
  </si>
  <si>
    <t>23.12.13 모다대전</t>
  </si>
  <si>
    <t>TVJJW22542DGR95</t>
  </si>
  <si>
    <t>TVJJW22542DGR90</t>
  </si>
  <si>
    <t>23.05.31 롯동탄</t>
  </si>
  <si>
    <t>TVJJM23522SBU95</t>
  </si>
  <si>
    <t>25.05.08 이세계 페스티벌 판매용</t>
  </si>
  <si>
    <t>박성실</t>
  </si>
  <si>
    <t>TLTCM25851WHXL</t>
  </si>
  <si>
    <t>TLTCM25851BLKM</t>
  </si>
  <si>
    <t>TLTCM23821PMIL</t>
  </si>
  <si>
    <t>TLTCM23699BLK2XL</t>
  </si>
  <si>
    <t>22.05.31 대백프라자</t>
  </si>
  <si>
    <t>TLTCM22607DGR105</t>
  </si>
  <si>
    <t>23.11.16 현부산</t>
  </si>
  <si>
    <t>TLTBW23631BLKM</t>
  </si>
  <si>
    <t>23.11.23 AK수원</t>
  </si>
  <si>
    <t>TLTBW23591MMLXL</t>
  </si>
  <si>
    <t>23.11.21 롯센텀 (사업자판매X)</t>
  </si>
  <si>
    <t>TLTBW23591MMLL</t>
  </si>
  <si>
    <t>22.11.15 (사업자판매X)</t>
  </si>
  <si>
    <t>TLTBW22531BLK105</t>
  </si>
  <si>
    <t>23.03.12 현울산</t>
  </si>
  <si>
    <t>TLTBS23401LML110</t>
  </si>
  <si>
    <t>23.03.13 롯김포공항</t>
  </si>
  <si>
    <t>TLTBS23401BLK105</t>
  </si>
  <si>
    <t>TLTBA24431BLKM</t>
  </si>
  <si>
    <t>24.10.02 납품서의 출고 취소</t>
  </si>
  <si>
    <t>김현미</t>
  </si>
  <si>
    <t>TLTBA24431BLKL</t>
  </si>
  <si>
    <t>신마산 임솔 매니저 유니폼건으로 자가소모(잡손실) 처리 필요</t>
  </si>
  <si>
    <t>처리예정</t>
  </si>
  <si>
    <t>24.10.02 신마산</t>
  </si>
  <si>
    <t>TLTBA24421MGYM</t>
  </si>
  <si>
    <t>23.09.26 현동구</t>
  </si>
  <si>
    <t>TLTBA23421KGY95</t>
  </si>
  <si>
    <t>TLPOM23695BLK2XL</t>
  </si>
  <si>
    <t>2022.11.22 (롯수원)</t>
  </si>
  <si>
    <t>TLPNW22591BLK80</t>
  </si>
  <si>
    <t>23.03.10 롯동래</t>
  </si>
  <si>
    <t>TLPNS23411CHA80</t>
  </si>
  <si>
    <t>TLPNM23531KHA80</t>
  </si>
  <si>
    <t>23.09.25 AK수원</t>
  </si>
  <si>
    <t>TLPNA23431BLK80</t>
  </si>
  <si>
    <t>25.03.07 저장위치간 이동</t>
  </si>
  <si>
    <t>정병우</t>
  </si>
  <si>
    <t>TLJJW24861GPIXL</t>
  </si>
  <si>
    <t>TLJJW24861GPIM</t>
  </si>
  <si>
    <t>TLJJA24421BLK95</t>
  </si>
  <si>
    <t>2023.05.31 (롯동탄→본사)</t>
  </si>
  <si>
    <t>QEBDX23901BLKXXX</t>
  </si>
  <si>
    <t>JWVAX23211KGY105</t>
  </si>
  <si>
    <t>2023.12.13 (모다대전→본사)</t>
  </si>
  <si>
    <t>JWTBW22201BLK95</t>
  </si>
  <si>
    <t>매니저 교체</t>
    <phoneticPr fontId="4" type="noConversion"/>
  </si>
  <si>
    <t>2022.06.07 (AK원주→본사)</t>
  </si>
  <si>
    <t>빅준용</t>
  </si>
  <si>
    <t>JKTCM22274BLK95</t>
  </si>
  <si>
    <t>24.10.08 롯본점</t>
  </si>
  <si>
    <t>JKTBX24132PIN90</t>
  </si>
  <si>
    <t>23.03.13 롯마산</t>
  </si>
  <si>
    <t>JKTBS23172PSL90</t>
  </si>
  <si>
    <t>2023.03.12 현대판교</t>
  </si>
  <si>
    <t>JKPNS23102CIN70</t>
  </si>
  <si>
    <t>JKJJM23202LLIM</t>
  </si>
  <si>
    <t>JKJGX24272NAY90</t>
  </si>
  <si>
    <t>FE4TX24010BLK260</t>
  </si>
  <si>
    <t>FE4DX23360WHX275</t>
  </si>
  <si>
    <t>FE4DX23360WHX265</t>
  </si>
  <si>
    <t>FE4DX23360WHX240</t>
  </si>
  <si>
    <t>FE4DX23360WHX235</t>
  </si>
  <si>
    <t>FE4CX24160BEI240</t>
  </si>
  <si>
    <t>특이사항</t>
  </si>
  <si>
    <t>예정일자</t>
  </si>
  <si>
    <t>처리여부</t>
  </si>
  <si>
    <t>사이즈</t>
  </si>
  <si>
    <t>12월 중</t>
  </si>
  <si>
    <t>매장(사업자)</t>
    <phoneticPr fontId="9" type="noConversion"/>
  </si>
  <si>
    <t>스타필드고양 (최용기)</t>
  </si>
  <si>
    <t>모다대전 (김영규)</t>
  </si>
  <si>
    <t>롯율하 (김봉주)</t>
  </si>
  <si>
    <t>정민우</t>
    <phoneticPr fontId="0" type="noConversion"/>
  </si>
  <si>
    <t>신마산 (임솔)</t>
    <phoneticPr fontId="0" type="noConversion"/>
  </si>
  <si>
    <t>24.10.02 신마산</t>
    <phoneticPr fontId="0" type="noConversion"/>
  </si>
  <si>
    <t>롯본점 (손성권)</t>
    <phoneticPr fontId="0" type="noConversion"/>
  </si>
  <si>
    <t>2023.03.13 롯마산</t>
    <phoneticPr fontId="0" type="noConversion"/>
  </si>
  <si>
    <t>최진민</t>
    <phoneticPr fontId="0" type="noConversion"/>
  </si>
  <si>
    <t>현동구 (박민)</t>
    <phoneticPr fontId="0" type="noConversion"/>
  </si>
  <si>
    <t>현울산 (배지훈)</t>
    <phoneticPr fontId="0" type="noConversion"/>
  </si>
  <si>
    <t>현판교 (강성연)</t>
    <phoneticPr fontId="0" type="noConversion"/>
  </si>
  <si>
    <t>롯동탄 (조나야)</t>
    <phoneticPr fontId="0" type="noConversion"/>
  </si>
  <si>
    <t>23.09.26 현동구</t>
    <phoneticPr fontId="0" type="noConversion"/>
  </si>
  <si>
    <t>김형백</t>
    <phoneticPr fontId="0" type="noConversion"/>
  </si>
  <si>
    <t>23.03.8 롯동탄</t>
    <phoneticPr fontId="0" type="noConversion"/>
  </si>
  <si>
    <t>AK수원 (김영훈)</t>
    <phoneticPr fontId="0" type="noConversion"/>
  </si>
  <si>
    <t>TLTBW23631BLK</t>
    <phoneticPr fontId="0" type="noConversion"/>
  </si>
  <si>
    <t>TVJJM23522SBU</t>
    <phoneticPr fontId="0" type="noConversion"/>
  </si>
  <si>
    <t>TVPNS23452BLK</t>
    <phoneticPr fontId="0" type="noConversion"/>
  </si>
  <si>
    <t>TVTBS23402OWH</t>
    <phoneticPr fontId="0" type="noConversion"/>
  </si>
  <si>
    <t>롯마산 (최송이)</t>
    <phoneticPr fontId="0" type="noConversion"/>
  </si>
  <si>
    <t>현천호 (김인기)</t>
    <phoneticPr fontId="0" type="noConversion"/>
  </si>
  <si>
    <t>2023.12.13 모다대전</t>
    <phoneticPr fontId="0" type="noConversion"/>
  </si>
  <si>
    <t>23.11.16 롯동탄</t>
    <phoneticPr fontId="0" type="noConversion"/>
  </si>
  <si>
    <t>23.03.10 AK수원</t>
    <phoneticPr fontId="0" type="noConversion"/>
  </si>
  <si>
    <t>23.03.13 롯마산</t>
    <phoneticPr fontId="0" type="noConversion"/>
  </si>
  <si>
    <t>23.03.13 현천호 (재고 두개중 한 개만 사업자판매 등록)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</si>
</sst>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color rgb="FFFFFFFF"/>
      <name val="돋움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374370555742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21">
    <xf numFmtId="0" fontId="0" fillId="0" borderId="0" xfId="0" applyAlignment="1">
      <alignment vertical="top"/>
    </xf>
    <xf numFmtId="0" fontId="3" fillId="0" borderId="0" xfId="1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6" fillId="4" borderId="3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71DF5105-780D-4EA1-AA8F-35E09512D972}"/>
    <cellStyle name="표준 2 2" xfId="2" xr:uid="{8C98B156-E9C6-4E2C-93D2-BE253D6C36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abSelected="1" topLeftCell="A19" workbookViewId="0">
      <selection activeCell="V50" sqref="V50"/>
    </sheetView>
  </sheetViews>
  <sheetFormatPr defaultColWidth="8.7109375" defaultRowHeight="13.5" x14ac:dyDescent="0.2"/>
  <cols>
    <col min="1" max="1" width="6" style="11" bestFit="1" customWidth="1"/>
    <col min="2" max="2" width="13" style="11" bestFit="1" customWidth="1"/>
    <col min="3" max="3" width="19.85546875" style="11" bestFit="1" customWidth="1"/>
    <col min="4" max="4" width="7" style="11" bestFit="1" customWidth="1"/>
    <col min="5" max="5" width="20.85546875" style="11" customWidth="1"/>
    <col min="6" max="6" width="6" style="11" bestFit="1" customWidth="1"/>
    <col min="7" max="7" width="4" style="11" bestFit="1" customWidth="1"/>
    <col min="8" max="11" width="6" style="11" bestFit="1" customWidth="1"/>
    <col min="12" max="13" width="8" style="11" bestFit="1" customWidth="1"/>
    <col min="14" max="14" width="4" style="11" bestFit="1" customWidth="1"/>
    <col min="15" max="15" width="6" style="11" bestFit="1" customWidth="1"/>
    <col min="16" max="16" width="4" style="11" bestFit="1" customWidth="1"/>
    <col min="17" max="17" width="6" style="11" bestFit="1" customWidth="1"/>
    <col min="18" max="18" width="8.5703125" style="14" bestFit="1" customWidth="1"/>
    <col min="19" max="19" width="8" style="11" bestFit="1" customWidth="1"/>
    <col min="20" max="20" width="9" style="11" bestFit="1" customWidth="1"/>
    <col min="21" max="21" width="8.7109375" style="11"/>
    <col min="22" max="22" width="21.5703125" style="11" bestFit="1" customWidth="1"/>
    <col min="23" max="23" width="53.5703125" style="11" customWidth="1"/>
    <col min="24" max="16384" width="8.7109375" style="11"/>
  </cols>
  <sheetData>
    <row r="1" spans="1:23" x14ac:dyDescent="0.2">
      <c r="R1" s="13">
        <f>SUM(R3:R57)</f>
        <v>62</v>
      </c>
    </row>
    <row r="2" spans="1:23" x14ac:dyDescent="0.2">
      <c r="A2" s="10" t="s">
        <v>55</v>
      </c>
      <c r="B2" s="10" t="s">
        <v>56</v>
      </c>
      <c r="C2" s="10" t="s">
        <v>57</v>
      </c>
      <c r="D2" s="10" t="s">
        <v>58</v>
      </c>
      <c r="E2" s="10" t="s">
        <v>75</v>
      </c>
      <c r="F2" s="10" t="s">
        <v>59</v>
      </c>
      <c r="G2" s="10" t="s">
        <v>60</v>
      </c>
      <c r="H2" s="10" t="s">
        <v>61</v>
      </c>
      <c r="I2" s="10" t="s">
        <v>62</v>
      </c>
      <c r="J2" s="10" t="s">
        <v>63</v>
      </c>
      <c r="K2" s="10" t="s">
        <v>64</v>
      </c>
      <c r="L2" s="10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0" t="s">
        <v>70</v>
      </c>
      <c r="R2" s="15" t="s">
        <v>71</v>
      </c>
      <c r="S2" s="10" t="s">
        <v>72</v>
      </c>
      <c r="T2" s="10" t="s">
        <v>73</v>
      </c>
      <c r="U2" s="10" t="s">
        <v>77</v>
      </c>
      <c r="V2" s="17" t="s">
        <v>186</v>
      </c>
      <c r="W2" s="10" t="s">
        <v>79</v>
      </c>
    </row>
    <row r="3" spans="1:23" x14ac:dyDescent="0.2">
      <c r="A3" s="11" t="s">
        <v>0</v>
      </c>
      <c r="B3" s="11" t="s">
        <v>1</v>
      </c>
      <c r="C3" s="11" t="s">
        <v>3</v>
      </c>
      <c r="D3" s="12">
        <v>235</v>
      </c>
      <c r="E3" s="12" t="str">
        <f t="shared" ref="E3:E34" si="0">C3&amp;D3</f>
        <v>FE4DX23360WHX235</v>
      </c>
      <c r="F3" s="13">
        <v>1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6">
        <v>1</v>
      </c>
      <c r="S3" s="13">
        <v>43347</v>
      </c>
      <c r="T3" s="13">
        <v>178000</v>
      </c>
      <c r="U3" s="11" t="s">
        <v>84</v>
      </c>
      <c r="V3" s="11" t="s">
        <v>187</v>
      </c>
      <c r="W3" s="11" t="s">
        <v>83</v>
      </c>
    </row>
    <row r="4" spans="1:23" x14ac:dyDescent="0.2">
      <c r="A4" s="11" t="s">
        <v>0</v>
      </c>
      <c r="B4" s="11" t="s">
        <v>1</v>
      </c>
      <c r="C4" s="11" t="s">
        <v>3</v>
      </c>
      <c r="D4" s="12">
        <v>240</v>
      </c>
      <c r="E4" s="12" t="str">
        <f t="shared" si="0"/>
        <v>FE4DX23360WHX240</v>
      </c>
      <c r="F4" s="13">
        <v>1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6">
        <v>1</v>
      </c>
      <c r="S4" s="13">
        <v>43347</v>
      </c>
      <c r="T4" s="13">
        <v>178000</v>
      </c>
      <c r="U4" s="11" t="s">
        <v>84</v>
      </c>
      <c r="V4" s="11" t="s">
        <v>187</v>
      </c>
      <c r="W4" s="11" t="s">
        <v>83</v>
      </c>
    </row>
    <row r="5" spans="1:23" x14ac:dyDescent="0.2">
      <c r="A5" s="11" t="s">
        <v>0</v>
      </c>
      <c r="B5" s="11" t="s">
        <v>1</v>
      </c>
      <c r="C5" s="11" t="s">
        <v>3</v>
      </c>
      <c r="D5" s="12">
        <v>265</v>
      </c>
      <c r="E5" s="12" t="str">
        <f t="shared" si="0"/>
        <v>FE4DX23360WHX265</v>
      </c>
      <c r="F5" s="13">
        <v>1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6">
        <v>1</v>
      </c>
      <c r="S5" s="13">
        <v>43347</v>
      </c>
      <c r="T5" s="13">
        <v>178000</v>
      </c>
      <c r="U5" s="11" t="s">
        <v>84</v>
      </c>
      <c r="V5" s="11" t="s">
        <v>187</v>
      </c>
      <c r="W5" s="11" t="s">
        <v>83</v>
      </c>
    </row>
    <row r="6" spans="1:23" x14ac:dyDescent="0.2">
      <c r="A6" s="11" t="s">
        <v>0</v>
      </c>
      <c r="B6" s="11" t="s">
        <v>1</v>
      </c>
      <c r="C6" s="11" t="s">
        <v>3</v>
      </c>
      <c r="D6" s="12">
        <v>275</v>
      </c>
      <c r="E6" s="12" t="str">
        <f t="shared" si="0"/>
        <v>FE4DX23360WHX275</v>
      </c>
      <c r="F6" s="13">
        <v>1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6">
        <v>1</v>
      </c>
      <c r="S6" s="13">
        <v>43347</v>
      </c>
      <c r="T6" s="13">
        <v>178000</v>
      </c>
      <c r="U6" s="11" t="s">
        <v>84</v>
      </c>
      <c r="V6" s="11" t="s">
        <v>187</v>
      </c>
      <c r="W6" s="11" t="s">
        <v>83</v>
      </c>
    </row>
    <row r="7" spans="1:23" x14ac:dyDescent="0.2">
      <c r="A7" s="11" t="s">
        <v>0</v>
      </c>
      <c r="B7" s="11" t="s">
        <v>1</v>
      </c>
      <c r="C7" s="11" t="s">
        <v>12</v>
      </c>
      <c r="D7" s="12">
        <v>95</v>
      </c>
      <c r="E7" s="12" t="str">
        <f t="shared" si="0"/>
        <v>JWTBW22201BLK95</v>
      </c>
      <c r="F7" s="13">
        <v>1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6">
        <v>1</v>
      </c>
      <c r="S7" s="13">
        <v>44848</v>
      </c>
      <c r="T7" s="13">
        <v>178000</v>
      </c>
      <c r="U7" s="11" t="s">
        <v>84</v>
      </c>
      <c r="V7" s="11" t="s">
        <v>188</v>
      </c>
      <c r="W7" s="11" t="s">
        <v>210</v>
      </c>
    </row>
    <row r="8" spans="1:23" x14ac:dyDescent="0.2">
      <c r="A8" s="11" t="s">
        <v>0</v>
      </c>
      <c r="B8" s="11" t="s">
        <v>1</v>
      </c>
      <c r="C8" s="11" t="s">
        <v>16</v>
      </c>
      <c r="D8" s="12">
        <v>95</v>
      </c>
      <c r="E8" s="12" t="str">
        <f t="shared" si="0"/>
        <v>TLJJA24421BLK95</v>
      </c>
      <c r="F8" s="13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6">
        <v>1</v>
      </c>
      <c r="S8" s="13">
        <v>58399</v>
      </c>
      <c r="T8" s="13">
        <v>270000</v>
      </c>
      <c r="U8" s="11" t="s">
        <v>84</v>
      </c>
      <c r="V8" s="11" t="s">
        <v>189</v>
      </c>
      <c r="W8" s="11" t="s">
        <v>109</v>
      </c>
    </row>
    <row r="9" spans="1:23" x14ac:dyDescent="0.2">
      <c r="A9" s="11" t="s">
        <v>0</v>
      </c>
      <c r="B9" s="11" t="s">
        <v>1</v>
      </c>
      <c r="C9" s="11" t="s">
        <v>20</v>
      </c>
      <c r="D9" s="12">
        <v>80</v>
      </c>
      <c r="E9" s="12" t="str">
        <f t="shared" si="0"/>
        <v>TLPNM23531KHA80</v>
      </c>
      <c r="F9" s="13">
        <v>1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6">
        <v>1</v>
      </c>
      <c r="S9" s="13">
        <v>32428</v>
      </c>
      <c r="T9" s="13">
        <v>158000</v>
      </c>
      <c r="U9" s="11" t="s">
        <v>84</v>
      </c>
      <c r="V9" s="11" t="s">
        <v>187</v>
      </c>
      <c r="W9" s="11" t="s">
        <v>83</v>
      </c>
    </row>
    <row r="10" spans="1:23" x14ac:dyDescent="0.2">
      <c r="A10" s="11" t="s">
        <v>0</v>
      </c>
      <c r="B10" s="11" t="s">
        <v>1</v>
      </c>
      <c r="C10" s="11" t="s">
        <v>23</v>
      </c>
      <c r="D10" s="11" t="s">
        <v>24</v>
      </c>
      <c r="E10" s="12" t="str">
        <f t="shared" si="0"/>
        <v>TLPOM23695BLK2XL</v>
      </c>
      <c r="F10" s="13">
        <v>1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6">
        <v>1</v>
      </c>
      <c r="S10" s="13">
        <v>16398</v>
      </c>
      <c r="T10" s="13">
        <v>68000</v>
      </c>
      <c r="U10" s="11" t="s">
        <v>84</v>
      </c>
      <c r="V10" s="11" t="s">
        <v>187</v>
      </c>
      <c r="W10" s="11" t="s">
        <v>83</v>
      </c>
    </row>
    <row r="11" spans="1:23" x14ac:dyDescent="0.2">
      <c r="A11" s="11" t="s">
        <v>0</v>
      </c>
      <c r="B11" s="11" t="s">
        <v>1</v>
      </c>
      <c r="C11" s="11" t="s">
        <v>27</v>
      </c>
      <c r="D11" s="11" t="s">
        <v>7</v>
      </c>
      <c r="E11" s="12" t="str">
        <f t="shared" si="0"/>
        <v>TLTBA24431BLKM</v>
      </c>
      <c r="F11" s="13">
        <v>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6">
        <v>1</v>
      </c>
      <c r="S11" s="13">
        <v>28066</v>
      </c>
      <c r="T11" s="13">
        <v>138000</v>
      </c>
      <c r="U11" s="11" t="s">
        <v>84</v>
      </c>
      <c r="V11" s="11" t="s">
        <v>189</v>
      </c>
      <c r="W11" s="11" t="s">
        <v>109</v>
      </c>
    </row>
    <row r="12" spans="1:23" x14ac:dyDescent="0.2">
      <c r="A12" s="11" t="s">
        <v>0</v>
      </c>
      <c r="B12" s="11" t="s">
        <v>1</v>
      </c>
      <c r="C12" s="11" t="s">
        <v>35</v>
      </c>
      <c r="D12" s="11" t="s">
        <v>24</v>
      </c>
      <c r="E12" s="12" t="str">
        <f t="shared" si="0"/>
        <v>TLTCM23699BLK2XL</v>
      </c>
      <c r="F12" s="13">
        <v>1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6">
        <v>1</v>
      </c>
      <c r="S12" s="13">
        <v>14912</v>
      </c>
      <c r="T12" s="13">
        <v>68000</v>
      </c>
      <c r="U12" s="11" t="s">
        <v>84</v>
      </c>
      <c r="V12" s="11" t="s">
        <v>187</v>
      </c>
      <c r="W12" s="11" t="s">
        <v>83</v>
      </c>
    </row>
    <row r="13" spans="1:23" x14ac:dyDescent="0.2">
      <c r="A13" s="11" t="s">
        <v>0</v>
      </c>
      <c r="B13" s="11" t="s">
        <v>1</v>
      </c>
      <c r="C13" s="11" t="s">
        <v>36</v>
      </c>
      <c r="D13" s="11" t="s">
        <v>28</v>
      </c>
      <c r="E13" s="12" t="str">
        <f t="shared" si="0"/>
        <v>TLTCM23821PMIL</v>
      </c>
      <c r="F13" s="13">
        <v>1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6">
        <v>1</v>
      </c>
      <c r="S13" s="13">
        <v>15150</v>
      </c>
      <c r="T13" s="13">
        <v>78000</v>
      </c>
      <c r="U13" s="11" t="s">
        <v>84</v>
      </c>
      <c r="V13" s="11" t="s">
        <v>187</v>
      </c>
      <c r="W13" s="11" t="s">
        <v>83</v>
      </c>
    </row>
    <row r="14" spans="1:23" x14ac:dyDescent="0.2">
      <c r="A14" s="11" t="s">
        <v>0</v>
      </c>
      <c r="B14" s="11" t="s">
        <v>1</v>
      </c>
      <c r="C14" s="11" t="s">
        <v>40</v>
      </c>
      <c r="D14" s="12">
        <v>90</v>
      </c>
      <c r="E14" s="12" t="str">
        <f t="shared" si="0"/>
        <v>TVJJW22542DGR90</v>
      </c>
      <c r="F14" s="13">
        <v>1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6">
        <v>1</v>
      </c>
      <c r="S14" s="13">
        <v>81890</v>
      </c>
      <c r="T14" s="13">
        <v>420000</v>
      </c>
      <c r="U14" s="11" t="s">
        <v>84</v>
      </c>
      <c r="V14" s="11" t="s">
        <v>188</v>
      </c>
      <c r="W14" s="11" t="s">
        <v>110</v>
      </c>
    </row>
    <row r="15" spans="1:23" x14ac:dyDescent="0.2">
      <c r="A15" s="11" t="s">
        <v>0</v>
      </c>
      <c r="B15" s="11" t="s">
        <v>1</v>
      </c>
      <c r="C15" s="11" t="s">
        <v>40</v>
      </c>
      <c r="D15" s="12">
        <v>95</v>
      </c>
      <c r="E15" s="12" t="str">
        <f t="shared" si="0"/>
        <v>TVJJW22542DGR95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6">
        <v>1</v>
      </c>
      <c r="S15" s="13">
        <v>81890</v>
      </c>
      <c r="T15" s="13">
        <v>420000</v>
      </c>
      <c r="U15" s="11" t="s">
        <v>84</v>
      </c>
      <c r="V15" s="11" t="s">
        <v>188</v>
      </c>
      <c r="W15" s="11" t="s">
        <v>110</v>
      </c>
    </row>
    <row r="16" spans="1:23" x14ac:dyDescent="0.2">
      <c r="A16" s="11" t="s">
        <v>0</v>
      </c>
      <c r="B16" s="11" t="s">
        <v>1</v>
      </c>
      <c r="C16" s="11" t="s">
        <v>44</v>
      </c>
      <c r="D16" s="11" t="s">
        <v>45</v>
      </c>
      <c r="E16" s="12" t="str">
        <f t="shared" si="0"/>
        <v>TVPOM23694KHAS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6">
        <v>1</v>
      </c>
      <c r="S16" s="13">
        <v>16113</v>
      </c>
      <c r="T16" s="13">
        <v>78000</v>
      </c>
      <c r="U16" s="11" t="s">
        <v>84</v>
      </c>
      <c r="V16" s="11" t="s">
        <v>187</v>
      </c>
      <c r="W16" s="11" t="s">
        <v>83</v>
      </c>
    </row>
    <row r="17" spans="1:23" x14ac:dyDescent="0.2">
      <c r="A17" s="11" t="s">
        <v>0</v>
      </c>
      <c r="B17" s="11" t="s">
        <v>1</v>
      </c>
      <c r="C17" s="11" t="s">
        <v>46</v>
      </c>
      <c r="D17" s="12">
        <v>85</v>
      </c>
      <c r="E17" s="12" t="str">
        <f t="shared" si="0"/>
        <v>TVSXM23712OWH85</v>
      </c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6">
        <v>1</v>
      </c>
      <c r="S17" s="13">
        <v>27948</v>
      </c>
      <c r="T17" s="13">
        <v>178000</v>
      </c>
      <c r="U17" s="11" t="s">
        <v>84</v>
      </c>
      <c r="V17" s="11" t="s">
        <v>187</v>
      </c>
      <c r="W17" s="11" t="s">
        <v>83</v>
      </c>
    </row>
    <row r="18" spans="1:23" x14ac:dyDescent="0.2">
      <c r="A18" s="11" t="s">
        <v>0</v>
      </c>
      <c r="B18" s="11" t="s">
        <v>1</v>
      </c>
      <c r="C18" s="11" t="s">
        <v>49</v>
      </c>
      <c r="D18" s="12">
        <v>90</v>
      </c>
      <c r="E18" s="12" t="str">
        <f t="shared" si="0"/>
        <v>TVTBW22572IVO90</v>
      </c>
      <c r="F18" s="13">
        <v>2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6">
        <v>2</v>
      </c>
      <c r="S18" s="13">
        <v>110300</v>
      </c>
      <c r="T18" s="13">
        <v>396000</v>
      </c>
      <c r="U18" s="11" t="s">
        <v>84</v>
      </c>
      <c r="V18" s="11" t="s">
        <v>188</v>
      </c>
      <c r="W18" s="11" t="s">
        <v>110</v>
      </c>
    </row>
    <row r="19" spans="1:23" x14ac:dyDescent="0.2">
      <c r="A19" s="11" t="s">
        <v>0</v>
      </c>
      <c r="B19" s="11" t="s">
        <v>1</v>
      </c>
      <c r="C19" s="11" t="s">
        <v>50</v>
      </c>
      <c r="D19" s="11" t="s">
        <v>45</v>
      </c>
      <c r="E19" s="12" t="str">
        <f t="shared" si="0"/>
        <v>TVTCM23698KHAS</v>
      </c>
      <c r="F19" s="13">
        <v>1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6">
        <v>1</v>
      </c>
      <c r="S19" s="13">
        <v>15427</v>
      </c>
      <c r="T19" s="13">
        <v>88000</v>
      </c>
      <c r="U19" s="11" t="s">
        <v>84</v>
      </c>
      <c r="V19" s="11" t="s">
        <v>187</v>
      </c>
      <c r="W19" s="11" t="s">
        <v>83</v>
      </c>
    </row>
    <row r="20" spans="1:23" x14ac:dyDescent="0.2">
      <c r="A20" s="11" t="s">
        <v>0</v>
      </c>
      <c r="B20" s="11" t="s">
        <v>1</v>
      </c>
      <c r="C20" s="11" t="s">
        <v>51</v>
      </c>
      <c r="D20" s="12">
        <v>85</v>
      </c>
      <c r="E20" s="12" t="str">
        <f t="shared" si="0"/>
        <v>TVTCM23722BLK85</v>
      </c>
      <c r="F20" s="13">
        <v>1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6">
        <v>1</v>
      </c>
      <c r="S20" s="13">
        <v>27646</v>
      </c>
      <c r="T20" s="13">
        <v>148000</v>
      </c>
      <c r="U20" s="11" t="s">
        <v>84</v>
      </c>
      <c r="V20" s="11" t="s">
        <v>187</v>
      </c>
      <c r="W20" s="11" t="s">
        <v>83</v>
      </c>
    </row>
    <row r="21" spans="1:23" x14ac:dyDescent="0.2">
      <c r="A21" s="11" t="s">
        <v>0</v>
      </c>
      <c r="B21" s="11" t="s">
        <v>1</v>
      </c>
      <c r="C21" s="11" t="s">
        <v>52</v>
      </c>
      <c r="D21" s="11" t="s">
        <v>53</v>
      </c>
      <c r="E21" s="12" t="str">
        <f t="shared" si="0"/>
        <v>VKTCM23732OWHXS</v>
      </c>
      <c r="F21" s="13">
        <v>1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6">
        <v>1</v>
      </c>
      <c r="S21" s="13">
        <v>16642</v>
      </c>
      <c r="T21" s="13">
        <v>88000</v>
      </c>
      <c r="U21" s="11" t="s">
        <v>84</v>
      </c>
      <c r="V21" s="11" t="s">
        <v>187</v>
      </c>
      <c r="W21" s="11" t="s">
        <v>83</v>
      </c>
    </row>
    <row r="22" spans="1:23" x14ac:dyDescent="0.2">
      <c r="A22" s="11" t="s">
        <v>0</v>
      </c>
      <c r="B22" s="11" t="s">
        <v>1</v>
      </c>
      <c r="C22" s="11" t="s">
        <v>2</v>
      </c>
      <c r="D22" s="12">
        <v>240</v>
      </c>
      <c r="E22" s="12" t="str">
        <f t="shared" si="0"/>
        <v>FE4CX24160BEI240</v>
      </c>
      <c r="F22" s="13">
        <v>1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3</v>
      </c>
      <c r="P22" s="13">
        <v>3</v>
      </c>
      <c r="Q22" s="13">
        <v>0</v>
      </c>
      <c r="R22" s="16">
        <v>1</v>
      </c>
      <c r="S22" s="13">
        <v>73216</v>
      </c>
      <c r="T22" s="13">
        <v>280000</v>
      </c>
      <c r="U22" s="11" t="s">
        <v>81</v>
      </c>
      <c r="V22" s="11" t="s">
        <v>193</v>
      </c>
      <c r="W22" s="11" t="s">
        <v>167</v>
      </c>
    </row>
    <row r="23" spans="1:23" x14ac:dyDescent="0.2">
      <c r="A23" s="11" t="s">
        <v>0</v>
      </c>
      <c r="B23" s="11" t="s">
        <v>1</v>
      </c>
      <c r="C23" s="11" t="s">
        <v>4</v>
      </c>
      <c r="D23" s="12">
        <v>260</v>
      </c>
      <c r="E23" s="12" t="str">
        <f t="shared" si="0"/>
        <v>FE4TX24010BLK260</v>
      </c>
      <c r="F23" s="13">
        <v>1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1</v>
      </c>
      <c r="Q23" s="13">
        <v>0</v>
      </c>
      <c r="R23" s="16">
        <v>1</v>
      </c>
      <c r="S23" s="13">
        <v>61730</v>
      </c>
      <c r="T23" s="13">
        <v>210000</v>
      </c>
      <c r="U23" s="11" t="s">
        <v>81</v>
      </c>
      <c r="V23" s="11" t="s">
        <v>193</v>
      </c>
      <c r="W23" s="11" t="s">
        <v>167</v>
      </c>
    </row>
    <row r="24" spans="1:23" x14ac:dyDescent="0.2">
      <c r="A24" s="11" t="s">
        <v>0</v>
      </c>
      <c r="B24" s="11" t="s">
        <v>1</v>
      </c>
      <c r="C24" s="11" t="s">
        <v>5</v>
      </c>
      <c r="D24" s="12">
        <v>90</v>
      </c>
      <c r="E24" s="12" t="str">
        <f t="shared" si="0"/>
        <v>JKJGX24272NAY90</v>
      </c>
      <c r="F24" s="13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6">
        <v>1</v>
      </c>
      <c r="S24" s="13">
        <v>72594</v>
      </c>
      <c r="T24" s="13">
        <v>370000</v>
      </c>
      <c r="U24" s="11" t="s">
        <v>81</v>
      </c>
      <c r="V24" s="11" t="s">
        <v>193</v>
      </c>
      <c r="W24" s="11" t="s">
        <v>167</v>
      </c>
    </row>
    <row r="25" spans="1:23" x14ac:dyDescent="0.2">
      <c r="A25" s="11" t="s">
        <v>0</v>
      </c>
      <c r="B25" s="11" t="s">
        <v>1</v>
      </c>
      <c r="C25" s="11" t="s">
        <v>8</v>
      </c>
      <c r="D25" s="12">
        <v>70</v>
      </c>
      <c r="E25" s="12" t="str">
        <f t="shared" si="0"/>
        <v>JKPNS23102CIN70</v>
      </c>
      <c r="F25" s="13">
        <v>1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6">
        <v>1</v>
      </c>
      <c r="S25" s="13">
        <v>31216</v>
      </c>
      <c r="T25" s="13">
        <v>178000</v>
      </c>
      <c r="U25" s="11" t="s">
        <v>195</v>
      </c>
      <c r="V25" s="11" t="s">
        <v>208</v>
      </c>
      <c r="W25" s="11" t="s">
        <v>194</v>
      </c>
    </row>
    <row r="26" spans="1:23" x14ac:dyDescent="0.2">
      <c r="A26" s="11" t="s">
        <v>0</v>
      </c>
      <c r="B26" s="11" t="s">
        <v>1</v>
      </c>
      <c r="C26" s="11" t="s">
        <v>10</v>
      </c>
      <c r="D26" s="12">
        <v>90</v>
      </c>
      <c r="E26" s="12" t="str">
        <f t="shared" si="0"/>
        <v>JKTBX24132PIN90</v>
      </c>
      <c r="F26" s="13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6">
        <v>1</v>
      </c>
      <c r="S26" s="13">
        <v>17319</v>
      </c>
      <c r="T26" s="13">
        <v>118000</v>
      </c>
      <c r="U26" s="11" t="s">
        <v>81</v>
      </c>
      <c r="V26" s="11" t="s">
        <v>193</v>
      </c>
      <c r="W26" s="11" t="s">
        <v>167</v>
      </c>
    </row>
    <row r="27" spans="1:23" x14ac:dyDescent="0.2">
      <c r="A27" s="11" t="s">
        <v>0</v>
      </c>
      <c r="B27" s="11" t="s">
        <v>1</v>
      </c>
      <c r="C27" s="11" t="s">
        <v>25</v>
      </c>
      <c r="D27" s="12">
        <v>95</v>
      </c>
      <c r="E27" s="12" t="str">
        <f t="shared" si="0"/>
        <v>TLTBA23421KGY95</v>
      </c>
      <c r="F27" s="13">
        <v>1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6">
        <v>1</v>
      </c>
      <c r="S27" s="13">
        <v>27637</v>
      </c>
      <c r="T27" s="13">
        <v>138000</v>
      </c>
      <c r="U27" s="11" t="s">
        <v>81</v>
      </c>
      <c r="V27" s="11" t="s">
        <v>196</v>
      </c>
      <c r="W27" s="11" t="s">
        <v>143</v>
      </c>
    </row>
    <row r="28" spans="1:23" x14ac:dyDescent="0.2">
      <c r="A28" s="11" t="s">
        <v>0</v>
      </c>
      <c r="B28" s="11" t="s">
        <v>1</v>
      </c>
      <c r="C28" s="11" t="s">
        <v>30</v>
      </c>
      <c r="D28" s="12">
        <v>110</v>
      </c>
      <c r="E28" s="12" t="str">
        <f t="shared" si="0"/>
        <v>TLTBS23401LML110</v>
      </c>
      <c r="F28" s="13">
        <v>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6">
        <v>1</v>
      </c>
      <c r="S28" s="13">
        <v>18628</v>
      </c>
      <c r="T28" s="13">
        <v>98000</v>
      </c>
      <c r="U28" s="11" t="s">
        <v>81</v>
      </c>
      <c r="V28" s="11" t="s">
        <v>197</v>
      </c>
      <c r="W28" s="11" t="s">
        <v>131</v>
      </c>
    </row>
    <row r="29" spans="1:23" x14ac:dyDescent="0.2">
      <c r="A29" s="11" t="s">
        <v>0</v>
      </c>
      <c r="B29" s="11" t="s">
        <v>1</v>
      </c>
      <c r="C29" s="11" t="s">
        <v>34</v>
      </c>
      <c r="D29" s="12">
        <v>105</v>
      </c>
      <c r="E29" s="12" t="str">
        <f t="shared" si="0"/>
        <v>TLTCM22607DGR105</v>
      </c>
      <c r="F29" s="13">
        <v>1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6">
        <v>1</v>
      </c>
      <c r="S29" s="13">
        <v>14103</v>
      </c>
      <c r="T29" s="13">
        <v>58000</v>
      </c>
      <c r="U29" s="11" t="s">
        <v>81</v>
      </c>
      <c r="W29" s="18" t="s">
        <v>121</v>
      </c>
    </row>
    <row r="30" spans="1:23" x14ac:dyDescent="0.2">
      <c r="A30" s="11" t="s">
        <v>0</v>
      </c>
      <c r="B30" s="11" t="s">
        <v>1</v>
      </c>
      <c r="C30" s="11" t="s">
        <v>41</v>
      </c>
      <c r="D30" s="12">
        <v>75</v>
      </c>
      <c r="E30" s="12" t="str">
        <f t="shared" si="0"/>
        <v>TVPNM22572CHA75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6">
        <v>1</v>
      </c>
      <c r="S30" s="13">
        <v>19753</v>
      </c>
      <c r="T30" s="13">
        <v>138000</v>
      </c>
      <c r="U30" s="11" t="s">
        <v>81</v>
      </c>
      <c r="W30" s="18" t="s">
        <v>106</v>
      </c>
    </row>
    <row r="31" spans="1:23" x14ac:dyDescent="0.2">
      <c r="A31" s="11" t="s">
        <v>0</v>
      </c>
      <c r="B31" s="11" t="s">
        <v>1</v>
      </c>
      <c r="C31" s="11" t="s">
        <v>54</v>
      </c>
      <c r="D31" s="11" t="s">
        <v>45</v>
      </c>
      <c r="E31" s="12" t="str">
        <f t="shared" si="0"/>
        <v>VKTCM23742CGRS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6">
        <v>1</v>
      </c>
      <c r="S31" s="13">
        <v>37760</v>
      </c>
      <c r="T31" s="13">
        <v>178000</v>
      </c>
      <c r="U31" s="11" t="s">
        <v>81</v>
      </c>
      <c r="V31" s="11" t="s">
        <v>198</v>
      </c>
      <c r="W31" s="11" t="s">
        <v>80</v>
      </c>
    </row>
    <row r="32" spans="1:23" x14ac:dyDescent="0.2">
      <c r="A32" s="11" t="s">
        <v>0</v>
      </c>
      <c r="B32" s="11" t="s">
        <v>1</v>
      </c>
      <c r="C32" s="11" t="s">
        <v>6</v>
      </c>
      <c r="D32" s="11" t="s">
        <v>7</v>
      </c>
      <c r="E32" s="12" t="str">
        <f t="shared" si="0"/>
        <v>JKJJM23202LLIM</v>
      </c>
      <c r="F32" s="13">
        <v>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6">
        <v>1</v>
      </c>
      <c r="S32" s="13">
        <v>29304</v>
      </c>
      <c r="T32" s="13">
        <v>158000</v>
      </c>
      <c r="U32" s="11" t="s">
        <v>91</v>
      </c>
      <c r="V32" s="11" t="s">
        <v>199</v>
      </c>
      <c r="W32" s="11" t="s">
        <v>113</v>
      </c>
    </row>
    <row r="33" spans="1:23" x14ac:dyDescent="0.2">
      <c r="A33" s="11" t="s">
        <v>0</v>
      </c>
      <c r="B33" s="11" t="s">
        <v>1</v>
      </c>
      <c r="C33" s="11" t="s">
        <v>13</v>
      </c>
      <c r="D33" s="12">
        <v>105</v>
      </c>
      <c r="E33" s="12" t="str">
        <f t="shared" si="0"/>
        <v>JWVAX23211KGY105</v>
      </c>
      <c r="F33" s="13">
        <v>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6">
        <v>1</v>
      </c>
      <c r="S33" s="13">
        <v>39242</v>
      </c>
      <c r="T33" s="13">
        <v>168000</v>
      </c>
      <c r="U33" s="11" t="s">
        <v>91</v>
      </c>
      <c r="V33" s="11" t="s">
        <v>199</v>
      </c>
      <c r="W33" s="11" t="s">
        <v>113</v>
      </c>
    </row>
    <row r="34" spans="1:23" x14ac:dyDescent="0.2">
      <c r="A34" s="11" t="s">
        <v>0</v>
      </c>
      <c r="B34" s="11" t="s">
        <v>1</v>
      </c>
      <c r="C34" s="11" t="s">
        <v>14</v>
      </c>
      <c r="D34" s="11" t="s">
        <v>15</v>
      </c>
      <c r="E34" s="12" t="str">
        <f t="shared" si="0"/>
        <v>QEBDX23901BLKXXX</v>
      </c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6">
        <v>1</v>
      </c>
      <c r="S34" s="13">
        <v>19500</v>
      </c>
      <c r="T34" s="13">
        <v>78000</v>
      </c>
      <c r="U34" s="11" t="s">
        <v>91</v>
      </c>
      <c r="V34" s="11" t="s">
        <v>199</v>
      </c>
      <c r="W34" s="11" t="s">
        <v>113</v>
      </c>
    </row>
    <row r="35" spans="1:23" x14ac:dyDescent="0.2">
      <c r="A35" s="11" t="s">
        <v>0</v>
      </c>
      <c r="B35" s="11" t="s">
        <v>1</v>
      </c>
      <c r="C35" s="11" t="s">
        <v>19</v>
      </c>
      <c r="D35" s="12">
        <v>80</v>
      </c>
      <c r="E35" s="12" t="str">
        <f t="shared" ref="E35:E57" si="1">C35&amp;D35</f>
        <v>TLPNA23431BLK80</v>
      </c>
      <c r="F35" s="13">
        <v>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6">
        <v>1</v>
      </c>
      <c r="S35" s="13">
        <v>30639</v>
      </c>
      <c r="T35" s="13">
        <v>168000</v>
      </c>
      <c r="U35" s="11" t="s">
        <v>201</v>
      </c>
      <c r="V35" s="11" t="s">
        <v>196</v>
      </c>
      <c r="W35" s="11" t="s">
        <v>200</v>
      </c>
    </row>
    <row r="36" spans="1:23" x14ac:dyDescent="0.2">
      <c r="A36" s="11" t="s">
        <v>0</v>
      </c>
      <c r="B36" s="11" t="s">
        <v>1</v>
      </c>
      <c r="C36" s="11" t="s">
        <v>21</v>
      </c>
      <c r="D36" s="12">
        <v>80</v>
      </c>
      <c r="E36" s="12" t="str">
        <f t="shared" si="1"/>
        <v>TLPNS23411CHA80</v>
      </c>
      <c r="F36" s="13">
        <v>1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6">
        <v>1</v>
      </c>
      <c r="S36" s="13">
        <v>31449</v>
      </c>
      <c r="T36" s="13">
        <v>158000</v>
      </c>
      <c r="U36" s="11" t="s">
        <v>91</v>
      </c>
      <c r="V36" s="11" t="s">
        <v>199</v>
      </c>
      <c r="W36" s="11" t="s">
        <v>202</v>
      </c>
    </row>
    <row r="37" spans="1:23" x14ac:dyDescent="0.2">
      <c r="A37" s="11" t="s">
        <v>0</v>
      </c>
      <c r="B37" s="11" t="s">
        <v>1</v>
      </c>
      <c r="C37" s="11" t="s">
        <v>22</v>
      </c>
      <c r="D37" s="12">
        <v>80</v>
      </c>
      <c r="E37" s="12" t="str">
        <f t="shared" si="1"/>
        <v>TLPNW22591BLK80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6">
        <v>1</v>
      </c>
      <c r="S37" s="13">
        <v>30136</v>
      </c>
      <c r="T37" s="13">
        <v>138000</v>
      </c>
      <c r="U37" s="11" t="s">
        <v>91</v>
      </c>
      <c r="V37" s="11" t="s">
        <v>203</v>
      </c>
      <c r="W37" s="19" t="s">
        <v>125</v>
      </c>
    </row>
    <row r="38" spans="1:23" x14ac:dyDescent="0.2">
      <c r="A38" s="11" t="s">
        <v>0</v>
      </c>
      <c r="B38" s="11" t="s">
        <v>1</v>
      </c>
      <c r="C38" s="11" t="s">
        <v>31</v>
      </c>
      <c r="D38" s="12">
        <v>105</v>
      </c>
      <c r="E38" s="12" t="str">
        <f t="shared" si="1"/>
        <v>TLTBW22531BLK105</v>
      </c>
      <c r="F38" s="13">
        <v>1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6">
        <v>1</v>
      </c>
      <c r="S38" s="13">
        <v>31508</v>
      </c>
      <c r="T38" s="13">
        <v>138000</v>
      </c>
      <c r="U38" s="11" t="s">
        <v>91</v>
      </c>
      <c r="W38" s="18" t="s">
        <v>129</v>
      </c>
    </row>
    <row r="39" spans="1:23" x14ac:dyDescent="0.2">
      <c r="A39" s="11" t="s">
        <v>0</v>
      </c>
      <c r="B39" s="11" t="s">
        <v>1</v>
      </c>
      <c r="C39" s="11" t="s">
        <v>32</v>
      </c>
      <c r="D39" s="11" t="s">
        <v>28</v>
      </c>
      <c r="E39" s="12" t="str">
        <f t="shared" si="1"/>
        <v>TLTBW23591MMLL</v>
      </c>
      <c r="F39" s="13">
        <v>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6">
        <v>1</v>
      </c>
      <c r="S39" s="13">
        <v>32963</v>
      </c>
      <c r="T39" s="13">
        <v>158000</v>
      </c>
      <c r="U39" s="11" t="s">
        <v>91</v>
      </c>
      <c r="V39" s="11" t="s">
        <v>203</v>
      </c>
      <c r="W39" s="19" t="s">
        <v>125</v>
      </c>
    </row>
    <row r="40" spans="1:23" x14ac:dyDescent="0.2">
      <c r="A40" s="11" t="s">
        <v>0</v>
      </c>
      <c r="B40" s="11" t="s">
        <v>1</v>
      </c>
      <c r="C40" s="11" t="s">
        <v>32</v>
      </c>
      <c r="D40" s="11" t="s">
        <v>18</v>
      </c>
      <c r="E40" s="12" t="str">
        <f t="shared" si="1"/>
        <v>TLTBW23591MMLXL</v>
      </c>
      <c r="F40" s="13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6">
        <v>1</v>
      </c>
      <c r="S40" s="13">
        <v>32963</v>
      </c>
      <c r="T40" s="13">
        <v>158000</v>
      </c>
      <c r="U40" s="11" t="s">
        <v>91</v>
      </c>
      <c r="V40" s="11" t="s">
        <v>203</v>
      </c>
      <c r="W40" s="19" t="s">
        <v>125</v>
      </c>
    </row>
    <row r="41" spans="1:23" x14ac:dyDescent="0.2">
      <c r="A41" s="11" t="s">
        <v>0</v>
      </c>
      <c r="B41" s="11" t="s">
        <v>1</v>
      </c>
      <c r="C41" s="11" t="s">
        <v>204</v>
      </c>
      <c r="D41" s="11" t="s">
        <v>7</v>
      </c>
      <c r="E41" s="12" t="str">
        <f t="shared" si="1"/>
        <v>TLTBW23631BLKM</v>
      </c>
      <c r="F41" s="13">
        <v>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6">
        <v>1</v>
      </c>
      <c r="S41" s="13">
        <v>25921</v>
      </c>
      <c r="T41" s="13">
        <v>128000</v>
      </c>
      <c r="U41" s="11" t="s">
        <v>91</v>
      </c>
      <c r="V41" s="11" t="s">
        <v>199</v>
      </c>
      <c r="W41" s="19" t="s">
        <v>211</v>
      </c>
    </row>
    <row r="42" spans="1:23" x14ac:dyDescent="0.2">
      <c r="A42" s="11" t="s">
        <v>0</v>
      </c>
      <c r="B42" s="11" t="s">
        <v>1</v>
      </c>
      <c r="C42" s="11" t="s">
        <v>205</v>
      </c>
      <c r="D42" s="12">
        <v>95</v>
      </c>
      <c r="E42" s="12" t="str">
        <f t="shared" si="1"/>
        <v>TVJJM23522SBU95</v>
      </c>
      <c r="F42" s="13">
        <v>1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6">
        <v>1</v>
      </c>
      <c r="S42" s="13">
        <v>39293</v>
      </c>
      <c r="T42" s="13">
        <v>198000</v>
      </c>
      <c r="U42" s="11" t="s">
        <v>91</v>
      </c>
      <c r="V42" s="11" t="s">
        <v>199</v>
      </c>
      <c r="W42" s="19" t="s">
        <v>113</v>
      </c>
    </row>
    <row r="43" spans="1:23" x14ac:dyDescent="0.2">
      <c r="A43" s="11" t="s">
        <v>0</v>
      </c>
      <c r="B43" s="11" t="s">
        <v>1</v>
      </c>
      <c r="C43" s="11" t="s">
        <v>206</v>
      </c>
      <c r="D43" s="12">
        <v>75</v>
      </c>
      <c r="E43" s="12" t="str">
        <f t="shared" si="1"/>
        <v>TVPNS23452BLK75</v>
      </c>
      <c r="F43" s="13">
        <v>1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6">
        <v>1</v>
      </c>
      <c r="S43" s="13">
        <v>28155</v>
      </c>
      <c r="T43" s="13">
        <v>158000</v>
      </c>
      <c r="U43" s="11" t="s">
        <v>91</v>
      </c>
      <c r="V43" s="11" t="s">
        <v>203</v>
      </c>
      <c r="W43" s="19" t="s">
        <v>212</v>
      </c>
    </row>
    <row r="44" spans="1:23" x14ac:dyDescent="0.2">
      <c r="A44" s="11" t="s">
        <v>0</v>
      </c>
      <c r="B44" s="11" t="s">
        <v>1</v>
      </c>
      <c r="C44" s="11" t="s">
        <v>43</v>
      </c>
      <c r="D44" s="12">
        <v>65</v>
      </c>
      <c r="E44" s="12" t="str">
        <f t="shared" si="1"/>
        <v>TVPNW22572LML65</v>
      </c>
      <c r="F44" s="13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6">
        <v>1</v>
      </c>
      <c r="S44" s="13">
        <v>26136</v>
      </c>
      <c r="T44" s="13">
        <v>138000</v>
      </c>
      <c r="U44" s="11" t="s">
        <v>91</v>
      </c>
      <c r="W44" s="18" t="s">
        <v>100</v>
      </c>
    </row>
    <row r="45" spans="1:23" x14ac:dyDescent="0.2">
      <c r="A45" s="11" t="s">
        <v>0</v>
      </c>
      <c r="B45" s="11" t="s">
        <v>1</v>
      </c>
      <c r="C45" s="11" t="s">
        <v>207</v>
      </c>
      <c r="D45" s="12">
        <v>100</v>
      </c>
      <c r="E45" s="12" t="str">
        <f t="shared" si="1"/>
        <v>TVTBS23402OWH100</v>
      </c>
      <c r="F45" s="13">
        <v>1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6">
        <v>1</v>
      </c>
      <c r="S45" s="13">
        <v>15108</v>
      </c>
      <c r="T45" s="13">
        <v>98000</v>
      </c>
      <c r="U45" s="11" t="s">
        <v>91</v>
      </c>
      <c r="V45" s="11" t="s">
        <v>203</v>
      </c>
      <c r="W45" s="19" t="s">
        <v>93</v>
      </c>
    </row>
    <row r="46" spans="1:23" x14ac:dyDescent="0.2">
      <c r="A46" s="11" t="s">
        <v>0</v>
      </c>
      <c r="B46" s="11" t="s">
        <v>1</v>
      </c>
      <c r="C46" s="11" t="s">
        <v>48</v>
      </c>
      <c r="D46" s="12">
        <v>95</v>
      </c>
      <c r="E46" s="12" t="str">
        <f t="shared" si="1"/>
        <v>TVTBW22522LML95</v>
      </c>
      <c r="F46" s="13">
        <v>1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6">
        <v>1</v>
      </c>
      <c r="S46" s="13">
        <v>28816</v>
      </c>
      <c r="T46" s="13">
        <v>138000</v>
      </c>
      <c r="U46" s="11" t="s">
        <v>91</v>
      </c>
      <c r="W46" s="18" t="s">
        <v>90</v>
      </c>
    </row>
    <row r="47" spans="1:23" x14ac:dyDescent="0.2">
      <c r="A47" s="11" t="s">
        <v>0</v>
      </c>
      <c r="B47" s="11" t="s">
        <v>1</v>
      </c>
      <c r="C47" s="11" t="s">
        <v>37</v>
      </c>
      <c r="D47" s="11" t="s">
        <v>7</v>
      </c>
      <c r="E47" s="12" t="str">
        <f t="shared" si="1"/>
        <v>TLTCM25851BLKM</v>
      </c>
      <c r="F47" s="13">
        <v>1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6">
        <v>1</v>
      </c>
      <c r="S47" s="13">
        <v>15875</v>
      </c>
      <c r="T47" s="13">
        <v>49900</v>
      </c>
      <c r="U47" s="11" t="s">
        <v>116</v>
      </c>
      <c r="W47" s="20" t="s">
        <v>115</v>
      </c>
    </row>
    <row r="48" spans="1:23" x14ac:dyDescent="0.2">
      <c r="A48" s="11" t="s">
        <v>0</v>
      </c>
      <c r="B48" s="11" t="s">
        <v>1</v>
      </c>
      <c r="C48" s="11" t="s">
        <v>38</v>
      </c>
      <c r="D48" s="11" t="s">
        <v>28</v>
      </c>
      <c r="E48" s="12" t="str">
        <f t="shared" si="1"/>
        <v>TLTCM25851WHXL</v>
      </c>
      <c r="F48" s="13">
        <v>5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6">
        <v>5</v>
      </c>
      <c r="S48" s="13">
        <v>79375</v>
      </c>
      <c r="T48" s="13">
        <v>249500</v>
      </c>
      <c r="U48" s="11" t="s">
        <v>116</v>
      </c>
      <c r="W48" s="20" t="s">
        <v>115</v>
      </c>
    </row>
    <row r="49" spans="1:23" x14ac:dyDescent="0.2">
      <c r="A49" s="11" t="s">
        <v>0</v>
      </c>
      <c r="B49" s="11" t="s">
        <v>1</v>
      </c>
      <c r="C49" s="11" t="s">
        <v>11</v>
      </c>
      <c r="D49" s="12">
        <v>95</v>
      </c>
      <c r="E49" s="12" t="str">
        <f t="shared" si="1"/>
        <v>JKTCM22274BLK95</v>
      </c>
      <c r="F49" s="13">
        <v>1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6">
        <v>1</v>
      </c>
      <c r="S49" s="13">
        <v>19767</v>
      </c>
      <c r="T49" s="13">
        <v>108000</v>
      </c>
      <c r="U49" s="11" t="s">
        <v>165</v>
      </c>
      <c r="W49" s="18" t="s">
        <v>164</v>
      </c>
    </row>
    <row r="50" spans="1:23" x14ac:dyDescent="0.2">
      <c r="A50" s="11" t="s">
        <v>0</v>
      </c>
      <c r="B50" s="11" t="s">
        <v>1</v>
      </c>
      <c r="C50" s="11" t="s">
        <v>27</v>
      </c>
      <c r="D50" s="11" t="s">
        <v>28</v>
      </c>
      <c r="E50" s="12" t="str">
        <f t="shared" si="1"/>
        <v>TLTBA24431BLKL</v>
      </c>
      <c r="F50" s="13">
        <v>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1</v>
      </c>
      <c r="Q50" s="13">
        <v>0</v>
      </c>
      <c r="R50" s="16">
        <v>1</v>
      </c>
      <c r="S50" s="13">
        <v>28066</v>
      </c>
      <c r="T50" s="13">
        <v>138000</v>
      </c>
      <c r="U50" s="11" t="s">
        <v>190</v>
      </c>
      <c r="V50" s="11" t="s">
        <v>191</v>
      </c>
      <c r="W50" s="11" t="s">
        <v>192</v>
      </c>
    </row>
    <row r="51" spans="1:23" x14ac:dyDescent="0.2">
      <c r="A51" s="11" t="s">
        <v>0</v>
      </c>
      <c r="B51" s="11" t="s">
        <v>1</v>
      </c>
      <c r="C51" s="11" t="s">
        <v>26</v>
      </c>
      <c r="D51" s="11" t="s">
        <v>7</v>
      </c>
      <c r="E51" s="12" t="str">
        <f t="shared" si="1"/>
        <v>TLTBA24421MGYM</v>
      </c>
      <c r="F51" s="13">
        <v>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6">
        <v>1</v>
      </c>
      <c r="S51" s="13">
        <v>27729</v>
      </c>
      <c r="T51" s="13">
        <v>138000</v>
      </c>
      <c r="U51" s="11" t="s">
        <v>108</v>
      </c>
      <c r="V51" s="11" t="s">
        <v>191</v>
      </c>
      <c r="W51" s="11" t="s">
        <v>141</v>
      </c>
    </row>
    <row r="52" spans="1:23" x14ac:dyDescent="0.2">
      <c r="A52" s="11" t="s">
        <v>0</v>
      </c>
      <c r="B52" s="11" t="s">
        <v>1</v>
      </c>
      <c r="C52" s="11" t="s">
        <v>17</v>
      </c>
      <c r="D52" s="11" t="s">
        <v>7</v>
      </c>
      <c r="E52" s="12" t="str">
        <f t="shared" si="1"/>
        <v>TLJJW24861GPIM</v>
      </c>
      <c r="F52" s="13">
        <v>3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6">
        <v>3</v>
      </c>
      <c r="S52" s="13">
        <v>537111</v>
      </c>
      <c r="T52" s="13">
        <v>1650000</v>
      </c>
      <c r="U52" s="11" t="s">
        <v>154</v>
      </c>
      <c r="W52" s="20" t="s">
        <v>153</v>
      </c>
    </row>
    <row r="53" spans="1:23" x14ac:dyDescent="0.2">
      <c r="A53" s="11" t="s">
        <v>0</v>
      </c>
      <c r="B53" s="11" t="s">
        <v>1</v>
      </c>
      <c r="C53" s="11" t="s">
        <v>17</v>
      </c>
      <c r="D53" s="11" t="s">
        <v>18</v>
      </c>
      <c r="E53" s="12" t="str">
        <f t="shared" si="1"/>
        <v>TLJJW24861GPIXL</v>
      </c>
      <c r="F53" s="13">
        <v>1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6">
        <v>1</v>
      </c>
      <c r="S53" s="13">
        <v>179037</v>
      </c>
      <c r="T53" s="13">
        <v>550000</v>
      </c>
      <c r="U53" s="11" t="s">
        <v>154</v>
      </c>
      <c r="W53" s="20" t="s">
        <v>153</v>
      </c>
    </row>
    <row r="54" spans="1:23" x14ac:dyDescent="0.2">
      <c r="A54" s="11" t="s">
        <v>0</v>
      </c>
      <c r="B54" s="11" t="s">
        <v>1</v>
      </c>
      <c r="C54" s="11" t="s">
        <v>9</v>
      </c>
      <c r="D54" s="12">
        <v>90</v>
      </c>
      <c r="E54" s="12" t="str">
        <f t="shared" si="1"/>
        <v>JKTBS23172PSL90</v>
      </c>
      <c r="F54" s="13">
        <v>1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6">
        <v>1</v>
      </c>
      <c r="S54" s="13">
        <v>26021</v>
      </c>
      <c r="T54" s="13">
        <v>138000</v>
      </c>
      <c r="U54" s="11" t="s">
        <v>96</v>
      </c>
      <c r="V54" s="11" t="s">
        <v>208</v>
      </c>
      <c r="W54" s="19" t="s">
        <v>169</v>
      </c>
    </row>
    <row r="55" spans="1:23" x14ac:dyDescent="0.2">
      <c r="A55" s="11" t="s">
        <v>0</v>
      </c>
      <c r="B55" s="11" t="s">
        <v>1</v>
      </c>
      <c r="C55" s="11" t="s">
        <v>29</v>
      </c>
      <c r="D55" s="12">
        <v>105</v>
      </c>
      <c r="E55" s="12" t="str">
        <f t="shared" si="1"/>
        <v>TLTBS23401BLK105</v>
      </c>
      <c r="F55" s="13">
        <v>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6">
        <v>1</v>
      </c>
      <c r="S55" s="13">
        <v>18628</v>
      </c>
      <c r="T55" s="13">
        <v>98000</v>
      </c>
      <c r="U55" s="11" t="s">
        <v>96</v>
      </c>
      <c r="V55" s="11" t="s">
        <v>208</v>
      </c>
      <c r="W55" s="19" t="s">
        <v>213</v>
      </c>
    </row>
    <row r="56" spans="1:23" x14ac:dyDescent="0.2">
      <c r="A56" s="11" t="s">
        <v>0</v>
      </c>
      <c r="B56" s="11" t="s">
        <v>1</v>
      </c>
      <c r="C56" s="11" t="s">
        <v>42</v>
      </c>
      <c r="D56" s="12">
        <v>70</v>
      </c>
      <c r="E56" s="12" t="str">
        <f t="shared" si="1"/>
        <v>TVPNS23452BLK70</v>
      </c>
      <c r="F56" s="13">
        <v>1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6">
        <v>1</v>
      </c>
      <c r="S56" s="13">
        <v>28155</v>
      </c>
      <c r="T56" s="13">
        <v>158000</v>
      </c>
      <c r="U56" s="11" t="s">
        <v>96</v>
      </c>
      <c r="V56" s="11" t="s">
        <v>209</v>
      </c>
      <c r="W56" s="19" t="s">
        <v>214</v>
      </c>
    </row>
    <row r="57" spans="1:23" x14ac:dyDescent="0.2">
      <c r="A57" s="11" t="s">
        <v>0</v>
      </c>
      <c r="B57" s="11" t="s">
        <v>1</v>
      </c>
      <c r="C57" s="11" t="s">
        <v>47</v>
      </c>
      <c r="D57" s="12">
        <v>95</v>
      </c>
      <c r="E57" s="12" t="str">
        <f t="shared" si="1"/>
        <v>TVTBS23402OWH95</v>
      </c>
      <c r="F57" s="13">
        <v>1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6">
        <v>1</v>
      </c>
      <c r="S57" s="13">
        <v>15108</v>
      </c>
      <c r="T57" s="13">
        <v>98000</v>
      </c>
      <c r="U57" s="11" t="s">
        <v>96</v>
      </c>
      <c r="V57" s="11" t="s">
        <v>209</v>
      </c>
      <c r="W57" s="19" t="s">
        <v>95</v>
      </c>
    </row>
  </sheetData>
  <autoFilter ref="A2:W2" xr:uid="{00000000-0001-0000-0000-000000000000}">
    <sortState xmlns:xlrd2="http://schemas.microsoft.com/office/spreadsheetml/2017/richdata2" ref="A3:W57">
      <sortCondition ref="U2"/>
    </sortState>
  </autoFilter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7051-BD30-4B0A-B08D-21FF255A8831}">
  <dimension ref="A1:X56"/>
  <sheetViews>
    <sheetView workbookViewId="0">
      <selection activeCell="K13" sqref="B13:K13"/>
    </sheetView>
  </sheetViews>
  <sheetFormatPr defaultColWidth="8.7109375" defaultRowHeight="13.5" x14ac:dyDescent="0.2"/>
  <cols>
    <col min="1" max="1" width="8.7109375" style="1"/>
    <col min="2" max="2" width="20.85546875" style="1" customWidth="1"/>
    <col min="3" max="3" width="17.140625" style="1" customWidth="1"/>
    <col min="4" max="4" width="7.5703125" style="1" customWidth="1"/>
    <col min="5" max="5" width="20.42578125" style="1" bestFit="1" customWidth="1"/>
    <col min="6" max="6" width="8.7109375" style="1"/>
    <col min="7" max="7" width="51.140625" style="1" customWidth="1"/>
    <col min="8" max="8" width="8.7109375" style="1"/>
    <col min="9" max="9" width="9.85546875" style="1" bestFit="1" customWidth="1"/>
    <col min="10" max="10" width="8.140625" style="1" bestFit="1" customWidth="1"/>
    <col min="11" max="11" width="60.7109375" style="1" customWidth="1"/>
    <col min="12" max="16384" width="8.7109375" style="1"/>
  </cols>
  <sheetData>
    <row r="1" spans="1:24" s="7" customFormat="1" ht="15" customHeight="1" thickBot="1" x14ac:dyDescent="0.25">
      <c r="A1" s="8" t="s">
        <v>55</v>
      </c>
      <c r="B1" s="8" t="s">
        <v>56</v>
      </c>
      <c r="C1" s="9" t="s">
        <v>57</v>
      </c>
      <c r="D1" s="9" t="s">
        <v>184</v>
      </c>
      <c r="E1" s="9" t="s">
        <v>74</v>
      </c>
      <c r="F1" s="9" t="s">
        <v>76</v>
      </c>
      <c r="G1" s="9" t="s">
        <v>78</v>
      </c>
      <c r="H1" s="9" t="s">
        <v>71</v>
      </c>
      <c r="I1" s="9" t="s">
        <v>183</v>
      </c>
      <c r="J1" s="9" t="s">
        <v>182</v>
      </c>
      <c r="K1" s="8" t="s">
        <v>181</v>
      </c>
    </row>
    <row r="2" spans="1:24" ht="14.25" thickBot="1" x14ac:dyDescent="0.25">
      <c r="A2" s="4">
        <v>5700</v>
      </c>
      <c r="B2" s="4" t="s">
        <v>1</v>
      </c>
      <c r="C2" s="6" t="s">
        <v>2</v>
      </c>
      <c r="D2" s="6">
        <v>240</v>
      </c>
      <c r="E2" s="6" t="s">
        <v>180</v>
      </c>
      <c r="F2" s="6" t="s">
        <v>81</v>
      </c>
      <c r="G2" s="6" t="s">
        <v>167</v>
      </c>
      <c r="H2" s="6">
        <v>1</v>
      </c>
      <c r="I2" s="5" t="s">
        <v>140</v>
      </c>
      <c r="J2" s="5" t="s">
        <v>185</v>
      </c>
      <c r="K2" s="2"/>
      <c r="T2" s="1" t="s">
        <v>81</v>
      </c>
      <c r="U2" s="1" t="s">
        <v>167</v>
      </c>
      <c r="V2" s="1">
        <v>1</v>
      </c>
      <c r="W2" s="1" t="s">
        <v>140</v>
      </c>
      <c r="X2" s="1" t="s">
        <v>185</v>
      </c>
    </row>
    <row r="3" spans="1:24" ht="14.25" thickBot="1" x14ac:dyDescent="0.25">
      <c r="A3" s="4">
        <v>5700</v>
      </c>
      <c r="B3" s="4" t="s">
        <v>1</v>
      </c>
      <c r="C3" s="3" t="s">
        <v>3</v>
      </c>
      <c r="D3" s="3">
        <v>235</v>
      </c>
      <c r="E3" s="3" t="s">
        <v>179</v>
      </c>
      <c r="F3" s="3" t="s">
        <v>84</v>
      </c>
      <c r="G3" s="3" t="s">
        <v>83</v>
      </c>
      <c r="H3" s="3">
        <v>1</v>
      </c>
      <c r="I3" s="2" t="s">
        <v>140</v>
      </c>
      <c r="J3" s="2" t="s">
        <v>185</v>
      </c>
      <c r="K3" s="2"/>
      <c r="T3" s="1" t="s">
        <v>84</v>
      </c>
      <c r="U3" s="1" t="s">
        <v>83</v>
      </c>
      <c r="V3" s="1">
        <v>1</v>
      </c>
      <c r="W3" s="1" t="s">
        <v>140</v>
      </c>
      <c r="X3" s="1" t="s">
        <v>185</v>
      </c>
    </row>
    <row r="4" spans="1:24" ht="14.25" thickBot="1" x14ac:dyDescent="0.25">
      <c r="A4" s="4">
        <v>5700</v>
      </c>
      <c r="B4" s="4" t="s">
        <v>1</v>
      </c>
      <c r="C4" s="3" t="s">
        <v>3</v>
      </c>
      <c r="D4" s="3">
        <v>240</v>
      </c>
      <c r="E4" s="3" t="s">
        <v>178</v>
      </c>
      <c r="F4" s="3" t="s">
        <v>84</v>
      </c>
      <c r="G4" s="3" t="s">
        <v>83</v>
      </c>
      <c r="H4" s="3">
        <v>1</v>
      </c>
      <c r="I4" s="2" t="s">
        <v>140</v>
      </c>
      <c r="J4" s="2" t="s">
        <v>185</v>
      </c>
      <c r="K4" s="2"/>
      <c r="T4" s="1" t="s">
        <v>84</v>
      </c>
      <c r="U4" s="1" t="s">
        <v>83</v>
      </c>
      <c r="V4" s="1">
        <v>1</v>
      </c>
      <c r="W4" s="1" t="s">
        <v>140</v>
      </c>
      <c r="X4" s="1" t="s">
        <v>185</v>
      </c>
    </row>
    <row r="5" spans="1:24" ht="14.25" thickBot="1" x14ac:dyDescent="0.25">
      <c r="A5" s="4">
        <v>5700</v>
      </c>
      <c r="B5" s="4" t="s">
        <v>1</v>
      </c>
      <c r="C5" s="3" t="s">
        <v>3</v>
      </c>
      <c r="D5" s="3">
        <v>265</v>
      </c>
      <c r="E5" s="3" t="s">
        <v>177</v>
      </c>
      <c r="F5" s="3" t="s">
        <v>84</v>
      </c>
      <c r="G5" s="3" t="s">
        <v>83</v>
      </c>
      <c r="H5" s="3">
        <v>1</v>
      </c>
      <c r="I5" s="2" t="s">
        <v>140</v>
      </c>
      <c r="J5" s="2" t="s">
        <v>185</v>
      </c>
      <c r="K5" s="2"/>
      <c r="T5" s="1" t="s">
        <v>84</v>
      </c>
      <c r="U5" s="1" t="s">
        <v>83</v>
      </c>
      <c r="V5" s="1">
        <v>1</v>
      </c>
      <c r="W5" s="1" t="s">
        <v>140</v>
      </c>
      <c r="X5" s="1" t="s">
        <v>185</v>
      </c>
    </row>
    <row r="6" spans="1:24" ht="14.25" thickBot="1" x14ac:dyDescent="0.25">
      <c r="A6" s="4">
        <v>5700</v>
      </c>
      <c r="B6" s="4" t="s">
        <v>1</v>
      </c>
      <c r="C6" s="3" t="s">
        <v>3</v>
      </c>
      <c r="D6" s="3">
        <v>275</v>
      </c>
      <c r="E6" s="3" t="s">
        <v>176</v>
      </c>
      <c r="F6" s="3" t="s">
        <v>84</v>
      </c>
      <c r="G6" s="3" t="s">
        <v>83</v>
      </c>
      <c r="H6" s="3">
        <v>1</v>
      </c>
      <c r="I6" s="2" t="s">
        <v>140</v>
      </c>
      <c r="J6" s="2" t="s">
        <v>185</v>
      </c>
      <c r="K6" s="2"/>
      <c r="T6" s="1" t="s">
        <v>84</v>
      </c>
      <c r="U6" s="1" t="s">
        <v>83</v>
      </c>
      <c r="V6" s="1">
        <v>1</v>
      </c>
      <c r="W6" s="1" t="s">
        <v>140</v>
      </c>
      <c r="X6" s="1" t="s">
        <v>185</v>
      </c>
    </row>
    <row r="7" spans="1:24" ht="14.25" thickBot="1" x14ac:dyDescent="0.25">
      <c r="A7" s="4">
        <v>5700</v>
      </c>
      <c r="B7" s="4" t="s">
        <v>1</v>
      </c>
      <c r="C7" s="3" t="s">
        <v>4</v>
      </c>
      <c r="D7" s="3">
        <v>260</v>
      </c>
      <c r="E7" s="3" t="s">
        <v>175</v>
      </c>
      <c r="F7" s="3" t="s">
        <v>81</v>
      </c>
      <c r="G7" s="3" t="s">
        <v>167</v>
      </c>
      <c r="H7" s="3">
        <v>1</v>
      </c>
      <c r="I7" s="2" t="s">
        <v>140</v>
      </c>
      <c r="J7" s="2" t="s">
        <v>185</v>
      </c>
      <c r="K7" s="2"/>
      <c r="T7" s="1" t="s">
        <v>81</v>
      </c>
      <c r="U7" s="1" t="s">
        <v>167</v>
      </c>
      <c r="V7" s="1">
        <v>1</v>
      </c>
      <c r="W7" s="1" t="s">
        <v>140</v>
      </c>
      <c r="X7" s="1" t="s">
        <v>185</v>
      </c>
    </row>
    <row r="8" spans="1:24" ht="14.25" thickBot="1" x14ac:dyDescent="0.25">
      <c r="A8" s="4">
        <v>5700</v>
      </c>
      <c r="B8" s="4" t="s">
        <v>1</v>
      </c>
      <c r="C8" s="3" t="s">
        <v>5</v>
      </c>
      <c r="D8" s="3">
        <v>90</v>
      </c>
      <c r="E8" s="3" t="s">
        <v>174</v>
      </c>
      <c r="F8" s="3" t="s">
        <v>81</v>
      </c>
      <c r="G8" s="3" t="s">
        <v>167</v>
      </c>
      <c r="H8" s="3">
        <v>1</v>
      </c>
      <c r="I8" s="2" t="s">
        <v>140</v>
      </c>
      <c r="J8" s="2" t="s">
        <v>185</v>
      </c>
      <c r="K8" s="2"/>
      <c r="T8" s="1" t="s">
        <v>81</v>
      </c>
      <c r="U8" s="1" t="s">
        <v>167</v>
      </c>
      <c r="V8" s="1">
        <v>1</v>
      </c>
      <c r="W8" s="1" t="s">
        <v>140</v>
      </c>
      <c r="X8" s="1" t="s">
        <v>185</v>
      </c>
    </row>
    <row r="9" spans="1:24" ht="14.25" thickBot="1" x14ac:dyDescent="0.25">
      <c r="A9" s="4">
        <v>5700</v>
      </c>
      <c r="B9" s="4" t="s">
        <v>1</v>
      </c>
      <c r="C9" s="3" t="s">
        <v>6</v>
      </c>
      <c r="D9" s="3" t="s">
        <v>7</v>
      </c>
      <c r="E9" s="3" t="s">
        <v>173</v>
      </c>
      <c r="F9" s="3" t="s">
        <v>91</v>
      </c>
      <c r="G9" s="3" t="s">
        <v>113</v>
      </c>
      <c r="H9" s="3">
        <v>1</v>
      </c>
      <c r="I9" s="2" t="s">
        <v>140</v>
      </c>
      <c r="J9" s="2" t="s">
        <v>185</v>
      </c>
      <c r="K9" s="2"/>
      <c r="T9" s="1" t="s">
        <v>91</v>
      </c>
      <c r="U9" s="1" t="s">
        <v>113</v>
      </c>
      <c r="V9" s="1">
        <v>1</v>
      </c>
      <c r="W9" s="1" t="s">
        <v>140</v>
      </c>
      <c r="X9" s="1" t="s">
        <v>185</v>
      </c>
    </row>
    <row r="10" spans="1:24" ht="14.25" thickBot="1" x14ac:dyDescent="0.25">
      <c r="A10" s="4">
        <v>5700</v>
      </c>
      <c r="B10" s="4" t="s">
        <v>1</v>
      </c>
      <c r="C10" s="3" t="s">
        <v>8</v>
      </c>
      <c r="D10" s="3">
        <v>70</v>
      </c>
      <c r="E10" s="3" t="s">
        <v>172</v>
      </c>
      <c r="F10" s="3" t="s">
        <v>81</v>
      </c>
      <c r="G10" s="3" t="s">
        <v>171</v>
      </c>
      <c r="H10" s="3">
        <v>1</v>
      </c>
      <c r="I10" s="2" t="s">
        <v>140</v>
      </c>
      <c r="J10" s="2" t="s">
        <v>185</v>
      </c>
      <c r="K10" s="2"/>
      <c r="T10" s="1" t="s">
        <v>81</v>
      </c>
      <c r="U10" s="1" t="s">
        <v>171</v>
      </c>
      <c r="V10" s="1">
        <v>1</v>
      </c>
      <c r="W10" s="1" t="s">
        <v>140</v>
      </c>
      <c r="X10" s="1" t="s">
        <v>185</v>
      </c>
    </row>
    <row r="11" spans="1:24" ht="14.25" thickBot="1" x14ac:dyDescent="0.25">
      <c r="A11" s="4">
        <v>5700</v>
      </c>
      <c r="B11" s="4" t="s">
        <v>1</v>
      </c>
      <c r="C11" s="3" t="s">
        <v>9</v>
      </c>
      <c r="D11" s="3">
        <v>90</v>
      </c>
      <c r="E11" s="3" t="s">
        <v>170</v>
      </c>
      <c r="F11" s="3" t="s">
        <v>96</v>
      </c>
      <c r="G11" s="3" t="s">
        <v>169</v>
      </c>
      <c r="H11" s="3">
        <v>1</v>
      </c>
      <c r="I11" s="2" t="s">
        <v>140</v>
      </c>
      <c r="J11" s="2" t="s">
        <v>185</v>
      </c>
      <c r="K11" s="2"/>
      <c r="T11" s="1" t="s">
        <v>96</v>
      </c>
      <c r="U11" s="1" t="s">
        <v>169</v>
      </c>
      <c r="V11" s="1">
        <v>1</v>
      </c>
      <c r="W11" s="1" t="s">
        <v>140</v>
      </c>
      <c r="X11" s="1" t="s">
        <v>185</v>
      </c>
    </row>
    <row r="12" spans="1:24" ht="14.25" thickBot="1" x14ac:dyDescent="0.25">
      <c r="A12" s="4">
        <v>5700</v>
      </c>
      <c r="B12" s="4" t="s">
        <v>1</v>
      </c>
      <c r="C12" s="3" t="s">
        <v>10</v>
      </c>
      <c r="D12" s="3">
        <v>90</v>
      </c>
      <c r="E12" s="3" t="s">
        <v>168</v>
      </c>
      <c r="F12" s="3" t="s">
        <v>81</v>
      </c>
      <c r="G12" s="3" t="s">
        <v>167</v>
      </c>
      <c r="H12" s="3">
        <v>1</v>
      </c>
      <c r="I12" s="2" t="s">
        <v>140</v>
      </c>
      <c r="J12" s="2" t="s">
        <v>185</v>
      </c>
      <c r="K12" s="2"/>
      <c r="T12" s="1" t="s">
        <v>81</v>
      </c>
      <c r="U12" s="1" t="s">
        <v>167</v>
      </c>
      <c r="V12" s="1">
        <v>1</v>
      </c>
      <c r="W12" s="1" t="s">
        <v>140</v>
      </c>
      <c r="X12" s="1" t="s">
        <v>185</v>
      </c>
    </row>
    <row r="13" spans="1:24" ht="14.25" thickBot="1" x14ac:dyDescent="0.25">
      <c r="A13" s="4">
        <v>5700</v>
      </c>
      <c r="B13" s="4" t="s">
        <v>1</v>
      </c>
      <c r="C13" s="3" t="s">
        <v>11</v>
      </c>
      <c r="D13" s="3">
        <v>95</v>
      </c>
      <c r="E13" s="3" t="s">
        <v>166</v>
      </c>
      <c r="F13" s="3" t="s">
        <v>165</v>
      </c>
      <c r="G13" s="3" t="s">
        <v>164</v>
      </c>
      <c r="H13" s="3">
        <v>1</v>
      </c>
      <c r="I13" s="2" t="s">
        <v>140</v>
      </c>
      <c r="J13" s="2" t="s">
        <v>185</v>
      </c>
      <c r="K13" s="2" t="s">
        <v>163</v>
      </c>
      <c r="T13" s="1" t="s">
        <v>165</v>
      </c>
      <c r="U13" s="1" t="s">
        <v>164</v>
      </c>
      <c r="V13" s="1">
        <v>1</v>
      </c>
      <c r="W13" s="1" t="s">
        <v>140</v>
      </c>
      <c r="X13" s="1" t="s">
        <v>185</v>
      </c>
    </row>
    <row r="14" spans="1:24" ht="14.25" thickBot="1" x14ac:dyDescent="0.25">
      <c r="A14" s="4">
        <v>5700</v>
      </c>
      <c r="B14" s="4" t="s">
        <v>1</v>
      </c>
      <c r="C14" s="3" t="s">
        <v>12</v>
      </c>
      <c r="D14" s="3">
        <v>95</v>
      </c>
      <c r="E14" s="3" t="s">
        <v>162</v>
      </c>
      <c r="F14" s="3" t="s">
        <v>84</v>
      </c>
      <c r="G14" s="3" t="s">
        <v>161</v>
      </c>
      <c r="H14" s="3">
        <v>1</v>
      </c>
      <c r="I14" s="2" t="s">
        <v>140</v>
      </c>
      <c r="J14" s="2" t="s">
        <v>185</v>
      </c>
      <c r="K14" s="2"/>
      <c r="T14" s="1" t="s">
        <v>84</v>
      </c>
      <c r="U14" s="1" t="s">
        <v>161</v>
      </c>
      <c r="V14" s="1">
        <v>1</v>
      </c>
      <c r="W14" s="1" t="s">
        <v>140</v>
      </c>
      <c r="X14" s="1" t="s">
        <v>185</v>
      </c>
    </row>
    <row r="15" spans="1:24" ht="14.25" thickBot="1" x14ac:dyDescent="0.25">
      <c r="A15" s="4">
        <v>5700</v>
      </c>
      <c r="B15" s="4" t="s">
        <v>1</v>
      </c>
      <c r="C15" s="3" t="s">
        <v>13</v>
      </c>
      <c r="D15" s="3">
        <v>105</v>
      </c>
      <c r="E15" s="3" t="s">
        <v>160</v>
      </c>
      <c r="F15" s="3" t="s">
        <v>91</v>
      </c>
      <c r="G15" s="3" t="s">
        <v>158</v>
      </c>
      <c r="H15" s="3">
        <v>1</v>
      </c>
      <c r="I15" s="2" t="s">
        <v>140</v>
      </c>
      <c r="J15" s="2" t="s">
        <v>185</v>
      </c>
      <c r="K15" s="2"/>
      <c r="T15" s="1" t="s">
        <v>91</v>
      </c>
      <c r="U15" s="1" t="s">
        <v>158</v>
      </c>
      <c r="V15" s="1">
        <v>1</v>
      </c>
      <c r="W15" s="1" t="s">
        <v>140</v>
      </c>
      <c r="X15" s="1" t="s">
        <v>185</v>
      </c>
    </row>
    <row r="16" spans="1:24" ht="14.25" thickBot="1" x14ac:dyDescent="0.25">
      <c r="A16" s="4">
        <v>5700</v>
      </c>
      <c r="B16" s="4" t="s">
        <v>1</v>
      </c>
      <c r="C16" s="3" t="s">
        <v>14</v>
      </c>
      <c r="D16" s="3" t="s">
        <v>15</v>
      </c>
      <c r="E16" s="3" t="s">
        <v>159</v>
      </c>
      <c r="F16" s="3" t="s">
        <v>91</v>
      </c>
      <c r="G16" s="3" t="s">
        <v>158</v>
      </c>
      <c r="H16" s="3">
        <v>1</v>
      </c>
      <c r="I16" s="2" t="s">
        <v>140</v>
      </c>
      <c r="J16" s="2" t="s">
        <v>185</v>
      </c>
      <c r="K16" s="2"/>
      <c r="T16" s="1" t="s">
        <v>91</v>
      </c>
      <c r="U16" s="1" t="s">
        <v>158</v>
      </c>
      <c r="V16" s="1">
        <v>1</v>
      </c>
      <c r="W16" s="1" t="s">
        <v>140</v>
      </c>
      <c r="X16" s="1" t="s">
        <v>185</v>
      </c>
    </row>
    <row r="17" spans="1:24" ht="14.25" thickBot="1" x14ac:dyDescent="0.25">
      <c r="A17" s="4">
        <v>5700</v>
      </c>
      <c r="B17" s="4" t="s">
        <v>1</v>
      </c>
      <c r="C17" s="3" t="s">
        <v>16</v>
      </c>
      <c r="D17" s="3">
        <v>95</v>
      </c>
      <c r="E17" s="3" t="s">
        <v>157</v>
      </c>
      <c r="F17" s="3" t="s">
        <v>84</v>
      </c>
      <c r="G17" s="3" t="s">
        <v>109</v>
      </c>
      <c r="H17" s="3">
        <v>1</v>
      </c>
      <c r="I17" s="2" t="s">
        <v>140</v>
      </c>
      <c r="J17" s="2" t="s">
        <v>185</v>
      </c>
      <c r="K17" s="2"/>
      <c r="T17" s="1" t="s">
        <v>84</v>
      </c>
      <c r="U17" s="1" t="s">
        <v>109</v>
      </c>
      <c r="V17" s="1">
        <v>1</v>
      </c>
      <c r="W17" s="1" t="s">
        <v>140</v>
      </c>
      <c r="X17" s="1" t="s">
        <v>185</v>
      </c>
    </row>
    <row r="18" spans="1:24" ht="14.25" thickBot="1" x14ac:dyDescent="0.25">
      <c r="A18" s="4">
        <v>5700</v>
      </c>
      <c r="B18" s="4" t="s">
        <v>1</v>
      </c>
      <c r="C18" s="3" t="s">
        <v>17</v>
      </c>
      <c r="D18" s="3" t="s">
        <v>7</v>
      </c>
      <c r="E18" s="3" t="s">
        <v>156</v>
      </c>
      <c r="F18" s="3" t="s">
        <v>154</v>
      </c>
      <c r="G18" s="3" t="s">
        <v>153</v>
      </c>
      <c r="H18" s="3">
        <v>3</v>
      </c>
      <c r="I18" s="2" t="s">
        <v>140</v>
      </c>
      <c r="J18" s="2" t="s">
        <v>185</v>
      </c>
      <c r="K18" s="2"/>
      <c r="T18" s="1" t="s">
        <v>154</v>
      </c>
      <c r="U18" s="1" t="s">
        <v>153</v>
      </c>
      <c r="V18" s="1">
        <v>3</v>
      </c>
      <c r="W18" s="1" t="s">
        <v>140</v>
      </c>
      <c r="X18" s="1" t="s">
        <v>185</v>
      </c>
    </row>
    <row r="19" spans="1:24" ht="14.25" thickBot="1" x14ac:dyDescent="0.25">
      <c r="A19" s="4">
        <v>5700</v>
      </c>
      <c r="B19" s="4" t="s">
        <v>1</v>
      </c>
      <c r="C19" s="3" t="s">
        <v>17</v>
      </c>
      <c r="D19" s="3" t="s">
        <v>18</v>
      </c>
      <c r="E19" s="3" t="s">
        <v>155</v>
      </c>
      <c r="F19" s="3" t="s">
        <v>154</v>
      </c>
      <c r="G19" s="3" t="s">
        <v>153</v>
      </c>
      <c r="H19" s="3">
        <v>1</v>
      </c>
      <c r="I19" s="2" t="s">
        <v>140</v>
      </c>
      <c r="J19" s="2" t="s">
        <v>185</v>
      </c>
      <c r="K19" s="2"/>
      <c r="T19" s="1" t="s">
        <v>154</v>
      </c>
      <c r="U19" s="1" t="s">
        <v>153</v>
      </c>
      <c r="V19" s="1">
        <v>1</v>
      </c>
      <c r="W19" s="1" t="s">
        <v>140</v>
      </c>
      <c r="X19" s="1" t="s">
        <v>185</v>
      </c>
    </row>
    <row r="20" spans="1:24" ht="14.25" thickBot="1" x14ac:dyDescent="0.25">
      <c r="A20" s="4">
        <v>5700</v>
      </c>
      <c r="B20" s="4" t="s">
        <v>1</v>
      </c>
      <c r="C20" s="3" t="s">
        <v>19</v>
      </c>
      <c r="D20" s="3">
        <v>80</v>
      </c>
      <c r="E20" s="3" t="s">
        <v>152</v>
      </c>
      <c r="F20" s="3" t="s">
        <v>91</v>
      </c>
      <c r="G20" s="3" t="s">
        <v>151</v>
      </c>
      <c r="H20" s="3">
        <v>1</v>
      </c>
      <c r="I20" s="2" t="s">
        <v>140</v>
      </c>
      <c r="J20" s="2" t="s">
        <v>185</v>
      </c>
      <c r="K20" s="2"/>
      <c r="T20" s="1" t="s">
        <v>91</v>
      </c>
      <c r="U20" s="1" t="s">
        <v>151</v>
      </c>
      <c r="V20" s="1">
        <v>1</v>
      </c>
      <c r="W20" s="1" t="s">
        <v>140</v>
      </c>
      <c r="X20" s="1" t="s">
        <v>185</v>
      </c>
    </row>
    <row r="21" spans="1:24" ht="14.25" thickBot="1" x14ac:dyDescent="0.25">
      <c r="A21" s="4">
        <v>5700</v>
      </c>
      <c r="B21" s="4" t="s">
        <v>1</v>
      </c>
      <c r="C21" s="3" t="s">
        <v>20</v>
      </c>
      <c r="D21" s="3">
        <v>80</v>
      </c>
      <c r="E21" s="3" t="s">
        <v>150</v>
      </c>
      <c r="F21" s="3" t="s">
        <v>84</v>
      </c>
      <c r="G21" s="3" t="s">
        <v>83</v>
      </c>
      <c r="H21" s="3">
        <v>1</v>
      </c>
      <c r="I21" s="2" t="s">
        <v>140</v>
      </c>
      <c r="J21" s="2" t="s">
        <v>185</v>
      </c>
      <c r="K21" s="2"/>
      <c r="T21" s="1" t="s">
        <v>84</v>
      </c>
      <c r="U21" s="1" t="s">
        <v>83</v>
      </c>
      <c r="V21" s="1">
        <v>1</v>
      </c>
      <c r="W21" s="1" t="s">
        <v>140</v>
      </c>
      <c r="X21" s="1" t="s">
        <v>185</v>
      </c>
    </row>
    <row r="22" spans="1:24" ht="14.25" thickBot="1" x14ac:dyDescent="0.25">
      <c r="A22" s="4">
        <v>5700</v>
      </c>
      <c r="B22" s="4" t="s">
        <v>1</v>
      </c>
      <c r="C22" s="3" t="s">
        <v>21</v>
      </c>
      <c r="D22" s="3">
        <v>80</v>
      </c>
      <c r="E22" s="3" t="s">
        <v>149</v>
      </c>
      <c r="F22" s="3" t="s">
        <v>91</v>
      </c>
      <c r="G22" s="3" t="s">
        <v>148</v>
      </c>
      <c r="H22" s="3">
        <v>1</v>
      </c>
      <c r="I22" s="2" t="s">
        <v>140</v>
      </c>
      <c r="J22" s="2" t="s">
        <v>185</v>
      </c>
      <c r="K22" s="2"/>
      <c r="T22" s="1" t="s">
        <v>91</v>
      </c>
      <c r="U22" s="1" t="s">
        <v>148</v>
      </c>
      <c r="V22" s="1">
        <v>1</v>
      </c>
      <c r="W22" s="1" t="s">
        <v>140</v>
      </c>
      <c r="X22" s="1" t="s">
        <v>185</v>
      </c>
    </row>
    <row r="23" spans="1:24" ht="14.25" thickBot="1" x14ac:dyDescent="0.25">
      <c r="A23" s="4">
        <v>5700</v>
      </c>
      <c r="B23" s="4" t="s">
        <v>1</v>
      </c>
      <c r="C23" s="3" t="s">
        <v>22</v>
      </c>
      <c r="D23" s="3">
        <v>80</v>
      </c>
      <c r="E23" s="3" t="s">
        <v>147</v>
      </c>
      <c r="F23" s="3" t="s">
        <v>91</v>
      </c>
      <c r="G23" s="3" t="s">
        <v>146</v>
      </c>
      <c r="H23" s="3">
        <v>1</v>
      </c>
      <c r="I23" s="2" t="s">
        <v>140</v>
      </c>
      <c r="J23" s="2" t="s">
        <v>185</v>
      </c>
      <c r="K23" s="2"/>
      <c r="T23" s="1" t="s">
        <v>91</v>
      </c>
      <c r="U23" s="1" t="s">
        <v>146</v>
      </c>
      <c r="V23" s="1">
        <v>1</v>
      </c>
      <c r="W23" s="1" t="s">
        <v>140</v>
      </c>
      <c r="X23" s="1" t="s">
        <v>185</v>
      </c>
    </row>
    <row r="24" spans="1:24" ht="14.25" thickBot="1" x14ac:dyDescent="0.25">
      <c r="A24" s="4">
        <v>5700</v>
      </c>
      <c r="B24" s="4" t="s">
        <v>1</v>
      </c>
      <c r="C24" s="3" t="s">
        <v>23</v>
      </c>
      <c r="D24" s="3" t="s">
        <v>24</v>
      </c>
      <c r="E24" s="3" t="s">
        <v>145</v>
      </c>
      <c r="F24" s="3" t="s">
        <v>84</v>
      </c>
      <c r="G24" s="3" t="s">
        <v>83</v>
      </c>
      <c r="H24" s="3">
        <v>1</v>
      </c>
      <c r="I24" s="2" t="s">
        <v>140</v>
      </c>
      <c r="J24" s="2" t="s">
        <v>185</v>
      </c>
      <c r="K24" s="2"/>
      <c r="T24" s="1" t="s">
        <v>84</v>
      </c>
      <c r="U24" s="1" t="s">
        <v>83</v>
      </c>
      <c r="V24" s="1">
        <v>1</v>
      </c>
      <c r="W24" s="1" t="s">
        <v>140</v>
      </c>
      <c r="X24" s="1" t="s">
        <v>185</v>
      </c>
    </row>
    <row r="25" spans="1:24" ht="14.25" thickBot="1" x14ac:dyDescent="0.25">
      <c r="A25" s="4">
        <v>5700</v>
      </c>
      <c r="B25" s="4" t="s">
        <v>1</v>
      </c>
      <c r="C25" s="3" t="s">
        <v>25</v>
      </c>
      <c r="D25" s="3">
        <v>95</v>
      </c>
      <c r="E25" s="3" t="s">
        <v>144</v>
      </c>
      <c r="F25" s="3" t="s">
        <v>81</v>
      </c>
      <c r="G25" s="3" t="s">
        <v>143</v>
      </c>
      <c r="H25" s="3">
        <v>1</v>
      </c>
      <c r="I25" s="2" t="s">
        <v>140</v>
      </c>
      <c r="J25" s="2" t="s">
        <v>185</v>
      </c>
      <c r="K25" s="2"/>
      <c r="T25" s="1" t="s">
        <v>81</v>
      </c>
      <c r="U25" s="1" t="s">
        <v>143</v>
      </c>
      <c r="V25" s="1">
        <v>1</v>
      </c>
      <c r="W25" s="1" t="s">
        <v>140</v>
      </c>
      <c r="X25" s="1" t="s">
        <v>185</v>
      </c>
    </row>
    <row r="26" spans="1:24" ht="14.25" thickBot="1" x14ac:dyDescent="0.25">
      <c r="A26" s="4">
        <v>5700</v>
      </c>
      <c r="B26" s="4" t="s">
        <v>1</v>
      </c>
      <c r="C26" s="3" t="s">
        <v>26</v>
      </c>
      <c r="D26" s="3" t="s">
        <v>7</v>
      </c>
      <c r="E26" s="3" t="s">
        <v>142</v>
      </c>
      <c r="F26" s="3" t="s">
        <v>108</v>
      </c>
      <c r="G26" s="3" t="s">
        <v>141</v>
      </c>
      <c r="H26" s="3">
        <v>1</v>
      </c>
      <c r="I26" s="2" t="s">
        <v>140</v>
      </c>
      <c r="J26" s="2" t="s">
        <v>185</v>
      </c>
      <c r="K26" s="2" t="s">
        <v>139</v>
      </c>
      <c r="T26" s="1" t="s">
        <v>108</v>
      </c>
      <c r="U26" s="1" t="s">
        <v>141</v>
      </c>
      <c r="V26" s="1">
        <v>1</v>
      </c>
      <c r="W26" s="1" t="s">
        <v>140</v>
      </c>
      <c r="X26" s="1" t="s">
        <v>185</v>
      </c>
    </row>
    <row r="27" spans="1:24" ht="14.25" thickBot="1" x14ac:dyDescent="0.25">
      <c r="A27" s="4">
        <v>5700</v>
      </c>
      <c r="B27" s="4" t="s">
        <v>1</v>
      </c>
      <c r="C27" s="3" t="s">
        <v>27</v>
      </c>
      <c r="D27" s="3" t="s">
        <v>28</v>
      </c>
      <c r="E27" s="3" t="s">
        <v>138</v>
      </c>
      <c r="F27" s="3" t="s">
        <v>137</v>
      </c>
      <c r="G27" s="3" t="s">
        <v>136</v>
      </c>
      <c r="H27" s="3">
        <v>1</v>
      </c>
      <c r="I27" s="2" t="s">
        <v>140</v>
      </c>
      <c r="J27" s="2" t="s">
        <v>185</v>
      </c>
      <c r="K27" s="2"/>
      <c r="T27" s="1" t="s">
        <v>137</v>
      </c>
      <c r="U27" s="1" t="s">
        <v>136</v>
      </c>
      <c r="V27" s="1">
        <v>1</v>
      </c>
      <c r="W27" s="1" t="s">
        <v>140</v>
      </c>
      <c r="X27" s="1" t="s">
        <v>185</v>
      </c>
    </row>
    <row r="28" spans="1:24" ht="14.25" thickBot="1" x14ac:dyDescent="0.25">
      <c r="A28" s="4">
        <v>5700</v>
      </c>
      <c r="B28" s="4" t="s">
        <v>1</v>
      </c>
      <c r="C28" s="3" t="s">
        <v>27</v>
      </c>
      <c r="D28" s="3" t="s">
        <v>7</v>
      </c>
      <c r="E28" s="3" t="s">
        <v>135</v>
      </c>
      <c r="F28" s="3" t="s">
        <v>84</v>
      </c>
      <c r="G28" s="3" t="s">
        <v>109</v>
      </c>
      <c r="H28" s="3">
        <v>1</v>
      </c>
      <c r="I28" s="2" t="s">
        <v>140</v>
      </c>
      <c r="J28" s="2" t="s">
        <v>185</v>
      </c>
      <c r="K28" s="2"/>
      <c r="T28" s="1" t="s">
        <v>84</v>
      </c>
      <c r="U28" s="1" t="s">
        <v>109</v>
      </c>
      <c r="V28" s="1">
        <v>1</v>
      </c>
      <c r="W28" s="1" t="s">
        <v>140</v>
      </c>
      <c r="X28" s="1" t="s">
        <v>185</v>
      </c>
    </row>
    <row r="29" spans="1:24" ht="14.25" thickBot="1" x14ac:dyDescent="0.25">
      <c r="A29" s="4">
        <v>5700</v>
      </c>
      <c r="B29" s="4" t="s">
        <v>1</v>
      </c>
      <c r="C29" s="3" t="s">
        <v>29</v>
      </c>
      <c r="D29" s="3">
        <v>105</v>
      </c>
      <c r="E29" s="3" t="s">
        <v>134</v>
      </c>
      <c r="F29" s="3" t="s">
        <v>96</v>
      </c>
      <c r="G29" s="3" t="s">
        <v>133</v>
      </c>
      <c r="H29" s="3">
        <v>1</v>
      </c>
      <c r="I29" s="2" t="s">
        <v>140</v>
      </c>
      <c r="J29" s="2" t="s">
        <v>185</v>
      </c>
      <c r="K29" s="2"/>
      <c r="T29" s="1" t="s">
        <v>96</v>
      </c>
      <c r="U29" s="1" t="s">
        <v>133</v>
      </c>
      <c r="V29" s="1">
        <v>1</v>
      </c>
      <c r="W29" s="1" t="s">
        <v>140</v>
      </c>
      <c r="X29" s="1" t="s">
        <v>185</v>
      </c>
    </row>
    <row r="30" spans="1:24" ht="14.25" thickBot="1" x14ac:dyDescent="0.25">
      <c r="A30" s="4">
        <v>5700</v>
      </c>
      <c r="B30" s="4" t="s">
        <v>1</v>
      </c>
      <c r="C30" s="3" t="s">
        <v>30</v>
      </c>
      <c r="D30" s="3">
        <v>110</v>
      </c>
      <c r="E30" s="3" t="s">
        <v>132</v>
      </c>
      <c r="F30" s="3" t="s">
        <v>81</v>
      </c>
      <c r="G30" s="3" t="s">
        <v>131</v>
      </c>
      <c r="H30" s="3">
        <v>1</v>
      </c>
      <c r="I30" s="2" t="s">
        <v>140</v>
      </c>
      <c r="J30" s="2" t="s">
        <v>185</v>
      </c>
      <c r="K30" s="2"/>
      <c r="T30" s="1" t="s">
        <v>81</v>
      </c>
      <c r="U30" s="1" t="s">
        <v>131</v>
      </c>
      <c r="V30" s="1">
        <v>1</v>
      </c>
      <c r="W30" s="1" t="s">
        <v>140</v>
      </c>
      <c r="X30" s="1" t="s">
        <v>185</v>
      </c>
    </row>
    <row r="31" spans="1:24" ht="14.25" thickBot="1" x14ac:dyDescent="0.25">
      <c r="A31" s="4">
        <v>5700</v>
      </c>
      <c r="B31" s="4" t="s">
        <v>1</v>
      </c>
      <c r="C31" s="3" t="s">
        <v>31</v>
      </c>
      <c r="D31" s="3">
        <v>105</v>
      </c>
      <c r="E31" s="3" t="s">
        <v>130</v>
      </c>
      <c r="F31" s="3" t="s">
        <v>91</v>
      </c>
      <c r="G31" s="3" t="s">
        <v>129</v>
      </c>
      <c r="H31" s="3">
        <v>1</v>
      </c>
      <c r="I31" s="2" t="s">
        <v>140</v>
      </c>
      <c r="J31" s="2" t="s">
        <v>185</v>
      </c>
      <c r="K31" s="2"/>
      <c r="T31" s="1" t="s">
        <v>91</v>
      </c>
      <c r="U31" s="1" t="s">
        <v>129</v>
      </c>
      <c r="V31" s="1">
        <v>1</v>
      </c>
      <c r="W31" s="1" t="s">
        <v>140</v>
      </c>
      <c r="X31" s="1" t="s">
        <v>185</v>
      </c>
    </row>
    <row r="32" spans="1:24" ht="14.25" thickBot="1" x14ac:dyDescent="0.25">
      <c r="A32" s="4">
        <v>5700</v>
      </c>
      <c r="B32" s="4" t="s">
        <v>1</v>
      </c>
      <c r="C32" s="3" t="s">
        <v>32</v>
      </c>
      <c r="D32" s="3" t="s">
        <v>28</v>
      </c>
      <c r="E32" s="3" t="s">
        <v>128</v>
      </c>
      <c r="F32" s="3" t="s">
        <v>91</v>
      </c>
      <c r="G32" s="3" t="s">
        <v>127</v>
      </c>
      <c r="H32" s="3">
        <v>1</v>
      </c>
      <c r="I32" s="2" t="s">
        <v>140</v>
      </c>
      <c r="J32" s="2" t="s">
        <v>185</v>
      </c>
      <c r="K32" s="2"/>
      <c r="T32" s="1" t="s">
        <v>91</v>
      </c>
      <c r="U32" s="1" t="s">
        <v>127</v>
      </c>
      <c r="V32" s="1">
        <v>1</v>
      </c>
      <c r="W32" s="1" t="s">
        <v>140</v>
      </c>
      <c r="X32" s="1" t="s">
        <v>185</v>
      </c>
    </row>
    <row r="33" spans="1:24" ht="14.25" thickBot="1" x14ac:dyDescent="0.25">
      <c r="A33" s="4">
        <v>5700</v>
      </c>
      <c r="B33" s="4" t="s">
        <v>1</v>
      </c>
      <c r="C33" s="3" t="s">
        <v>32</v>
      </c>
      <c r="D33" s="3" t="s">
        <v>18</v>
      </c>
      <c r="E33" s="3" t="s">
        <v>126</v>
      </c>
      <c r="F33" s="3" t="s">
        <v>91</v>
      </c>
      <c r="G33" s="3" t="s">
        <v>125</v>
      </c>
      <c r="H33" s="3">
        <v>1</v>
      </c>
      <c r="I33" s="2" t="s">
        <v>140</v>
      </c>
      <c r="J33" s="2" t="s">
        <v>185</v>
      </c>
      <c r="K33" s="2"/>
      <c r="T33" s="1" t="s">
        <v>91</v>
      </c>
      <c r="U33" s="1" t="s">
        <v>125</v>
      </c>
      <c r="V33" s="1">
        <v>1</v>
      </c>
      <c r="W33" s="1" t="s">
        <v>140</v>
      </c>
      <c r="X33" s="1" t="s">
        <v>185</v>
      </c>
    </row>
    <row r="34" spans="1:24" ht="14.25" thickBot="1" x14ac:dyDescent="0.25">
      <c r="A34" s="4">
        <v>5700</v>
      </c>
      <c r="B34" s="4" t="s">
        <v>1</v>
      </c>
      <c r="C34" s="3" t="s">
        <v>33</v>
      </c>
      <c r="D34" s="3" t="s">
        <v>7</v>
      </c>
      <c r="E34" s="3" t="s">
        <v>124</v>
      </c>
      <c r="F34" s="3" t="s">
        <v>91</v>
      </c>
      <c r="G34" s="3" t="s">
        <v>123</v>
      </c>
      <c r="H34" s="3">
        <v>1</v>
      </c>
      <c r="I34" s="2" t="s">
        <v>140</v>
      </c>
      <c r="J34" s="2" t="s">
        <v>185</v>
      </c>
      <c r="K34" s="2"/>
      <c r="T34" s="1" t="s">
        <v>91</v>
      </c>
      <c r="U34" s="1" t="s">
        <v>123</v>
      </c>
      <c r="V34" s="1">
        <v>1</v>
      </c>
      <c r="W34" s="1" t="s">
        <v>140</v>
      </c>
      <c r="X34" s="1" t="s">
        <v>185</v>
      </c>
    </row>
    <row r="35" spans="1:24" ht="14.25" thickBot="1" x14ac:dyDescent="0.25">
      <c r="A35" s="4">
        <v>5700</v>
      </c>
      <c r="B35" s="4" t="s">
        <v>1</v>
      </c>
      <c r="C35" s="3" t="s">
        <v>34</v>
      </c>
      <c r="D35" s="3">
        <v>105</v>
      </c>
      <c r="E35" s="3" t="s">
        <v>122</v>
      </c>
      <c r="F35" s="3" t="s">
        <v>81</v>
      </c>
      <c r="G35" s="3" t="s">
        <v>121</v>
      </c>
      <c r="H35" s="3">
        <v>1</v>
      </c>
      <c r="I35" s="2" t="s">
        <v>140</v>
      </c>
      <c r="J35" s="2" t="s">
        <v>185</v>
      </c>
      <c r="K35" s="2"/>
      <c r="T35" s="1" t="s">
        <v>81</v>
      </c>
      <c r="U35" s="1" t="s">
        <v>121</v>
      </c>
      <c r="V35" s="1">
        <v>1</v>
      </c>
      <c r="W35" s="1" t="s">
        <v>140</v>
      </c>
      <c r="X35" s="1" t="s">
        <v>185</v>
      </c>
    </row>
    <row r="36" spans="1:24" ht="14.25" thickBot="1" x14ac:dyDescent="0.25">
      <c r="A36" s="4">
        <v>5700</v>
      </c>
      <c r="B36" s="4" t="s">
        <v>1</v>
      </c>
      <c r="C36" s="3" t="s">
        <v>35</v>
      </c>
      <c r="D36" s="3" t="s">
        <v>24</v>
      </c>
      <c r="E36" s="3" t="s">
        <v>120</v>
      </c>
      <c r="F36" s="3" t="s">
        <v>84</v>
      </c>
      <c r="G36" s="3" t="s">
        <v>83</v>
      </c>
      <c r="H36" s="3">
        <v>1</v>
      </c>
      <c r="I36" s="2" t="s">
        <v>140</v>
      </c>
      <c r="J36" s="2" t="s">
        <v>185</v>
      </c>
      <c r="K36" s="2"/>
      <c r="T36" s="1" t="s">
        <v>84</v>
      </c>
      <c r="U36" s="1" t="s">
        <v>83</v>
      </c>
      <c r="V36" s="1">
        <v>1</v>
      </c>
      <c r="W36" s="1" t="s">
        <v>140</v>
      </c>
      <c r="X36" s="1" t="s">
        <v>185</v>
      </c>
    </row>
    <row r="37" spans="1:24" ht="14.25" thickBot="1" x14ac:dyDescent="0.25">
      <c r="A37" s="4">
        <v>5700</v>
      </c>
      <c r="B37" s="4" t="s">
        <v>1</v>
      </c>
      <c r="C37" s="3" t="s">
        <v>36</v>
      </c>
      <c r="D37" s="3" t="s">
        <v>28</v>
      </c>
      <c r="E37" s="3" t="s">
        <v>119</v>
      </c>
      <c r="F37" s="3" t="s">
        <v>84</v>
      </c>
      <c r="G37" s="3" t="s">
        <v>83</v>
      </c>
      <c r="H37" s="3">
        <v>1</v>
      </c>
      <c r="I37" s="2" t="s">
        <v>140</v>
      </c>
      <c r="J37" s="2" t="s">
        <v>185</v>
      </c>
      <c r="K37" s="2"/>
      <c r="T37" s="1" t="s">
        <v>84</v>
      </c>
      <c r="U37" s="1" t="s">
        <v>83</v>
      </c>
      <c r="V37" s="1">
        <v>1</v>
      </c>
      <c r="W37" s="1" t="s">
        <v>140</v>
      </c>
      <c r="X37" s="1" t="s">
        <v>185</v>
      </c>
    </row>
    <row r="38" spans="1:24" ht="14.25" thickBot="1" x14ac:dyDescent="0.25">
      <c r="A38" s="4">
        <v>5700</v>
      </c>
      <c r="B38" s="4" t="s">
        <v>1</v>
      </c>
      <c r="C38" s="3" t="s">
        <v>37</v>
      </c>
      <c r="D38" s="3" t="s">
        <v>7</v>
      </c>
      <c r="E38" s="3" t="s">
        <v>118</v>
      </c>
      <c r="F38" s="3" t="s">
        <v>116</v>
      </c>
      <c r="G38" s="3" t="s">
        <v>115</v>
      </c>
      <c r="H38" s="3">
        <v>1</v>
      </c>
      <c r="I38" s="2" t="s">
        <v>140</v>
      </c>
      <c r="J38" s="2" t="s">
        <v>185</v>
      </c>
      <c r="K38" s="2"/>
      <c r="T38" s="1" t="s">
        <v>116</v>
      </c>
      <c r="U38" s="1" t="s">
        <v>115</v>
      </c>
      <c r="V38" s="1">
        <v>1</v>
      </c>
      <c r="W38" s="1" t="s">
        <v>140</v>
      </c>
      <c r="X38" s="1" t="s">
        <v>185</v>
      </c>
    </row>
    <row r="39" spans="1:24" ht="14.25" thickBot="1" x14ac:dyDescent="0.25">
      <c r="A39" s="4">
        <v>5700</v>
      </c>
      <c r="B39" s="4" t="s">
        <v>1</v>
      </c>
      <c r="C39" s="3" t="s">
        <v>38</v>
      </c>
      <c r="D39" s="3" t="s">
        <v>28</v>
      </c>
      <c r="E39" s="3" t="s">
        <v>117</v>
      </c>
      <c r="F39" s="3" t="s">
        <v>116</v>
      </c>
      <c r="G39" s="3" t="s">
        <v>115</v>
      </c>
      <c r="H39" s="3">
        <v>5</v>
      </c>
      <c r="I39" s="2" t="s">
        <v>140</v>
      </c>
      <c r="J39" s="2" t="s">
        <v>185</v>
      </c>
      <c r="K39" s="2"/>
      <c r="T39" s="1" t="s">
        <v>116</v>
      </c>
      <c r="U39" s="1" t="s">
        <v>115</v>
      </c>
      <c r="V39" s="1">
        <v>5</v>
      </c>
      <c r="W39" s="1" t="s">
        <v>140</v>
      </c>
      <c r="X39" s="1" t="s">
        <v>185</v>
      </c>
    </row>
    <row r="40" spans="1:24" ht="14.25" thickBot="1" x14ac:dyDescent="0.25">
      <c r="A40" s="4">
        <v>5700</v>
      </c>
      <c r="B40" s="4" t="s">
        <v>1</v>
      </c>
      <c r="C40" s="3" t="s">
        <v>39</v>
      </c>
      <c r="D40" s="3">
        <v>95</v>
      </c>
      <c r="E40" s="3" t="s">
        <v>114</v>
      </c>
      <c r="F40" s="3" t="s">
        <v>91</v>
      </c>
      <c r="G40" s="3" t="s">
        <v>113</v>
      </c>
      <c r="H40" s="3">
        <v>1</v>
      </c>
      <c r="I40" s="2" t="s">
        <v>140</v>
      </c>
      <c r="J40" s="2" t="s">
        <v>185</v>
      </c>
      <c r="K40" s="2"/>
      <c r="T40" s="1" t="s">
        <v>91</v>
      </c>
      <c r="U40" s="1" t="s">
        <v>113</v>
      </c>
      <c r="V40" s="1">
        <v>1</v>
      </c>
      <c r="W40" s="1" t="s">
        <v>140</v>
      </c>
      <c r="X40" s="1" t="s">
        <v>185</v>
      </c>
    </row>
    <row r="41" spans="1:24" ht="14.25" thickBot="1" x14ac:dyDescent="0.25">
      <c r="A41" s="4">
        <v>5700</v>
      </c>
      <c r="B41" s="4" t="s">
        <v>1</v>
      </c>
      <c r="C41" s="3" t="s">
        <v>40</v>
      </c>
      <c r="D41" s="3">
        <v>90</v>
      </c>
      <c r="E41" s="3" t="s">
        <v>112</v>
      </c>
      <c r="F41" s="3" t="s">
        <v>84</v>
      </c>
      <c r="G41" s="3" t="s">
        <v>110</v>
      </c>
      <c r="H41" s="3">
        <v>1</v>
      </c>
      <c r="I41" s="2" t="s">
        <v>140</v>
      </c>
      <c r="J41" s="2" t="s">
        <v>185</v>
      </c>
      <c r="K41" s="2"/>
      <c r="T41" s="1" t="s">
        <v>84</v>
      </c>
      <c r="U41" s="1" t="s">
        <v>110</v>
      </c>
      <c r="V41" s="1">
        <v>1</v>
      </c>
      <c r="W41" s="1" t="s">
        <v>140</v>
      </c>
      <c r="X41" s="1" t="s">
        <v>185</v>
      </c>
    </row>
    <row r="42" spans="1:24" ht="14.25" thickBot="1" x14ac:dyDescent="0.25">
      <c r="A42" s="4">
        <v>5700</v>
      </c>
      <c r="B42" s="4" t="s">
        <v>1</v>
      </c>
      <c r="C42" s="3" t="s">
        <v>40</v>
      </c>
      <c r="D42" s="3">
        <v>95</v>
      </c>
      <c r="E42" s="3" t="s">
        <v>111</v>
      </c>
      <c r="F42" s="3" t="s">
        <v>84</v>
      </c>
      <c r="G42" s="3" t="s">
        <v>110</v>
      </c>
      <c r="H42" s="3">
        <v>1</v>
      </c>
      <c r="I42" s="2" t="s">
        <v>140</v>
      </c>
      <c r="J42" s="2" t="s">
        <v>185</v>
      </c>
      <c r="K42" s="2"/>
      <c r="T42" s="1" t="s">
        <v>84</v>
      </c>
      <c r="U42" s="1" t="s">
        <v>110</v>
      </c>
      <c r="V42" s="1">
        <v>1</v>
      </c>
      <c r="W42" s="1" t="s">
        <v>140</v>
      </c>
      <c r="X42" s="1" t="s">
        <v>185</v>
      </c>
    </row>
    <row r="43" spans="1:24" ht="14.25" thickBot="1" x14ac:dyDescent="0.25">
      <c r="A43" s="4">
        <v>5700</v>
      </c>
      <c r="B43" s="4" t="s">
        <v>1</v>
      </c>
      <c r="C43" s="3" t="s">
        <v>41</v>
      </c>
      <c r="D43" s="3">
        <v>75</v>
      </c>
      <c r="E43" s="3" t="s">
        <v>107</v>
      </c>
      <c r="F43" s="3" t="s">
        <v>81</v>
      </c>
      <c r="G43" s="3" t="s">
        <v>106</v>
      </c>
      <c r="H43" s="3">
        <v>1</v>
      </c>
      <c r="I43" s="2" t="s">
        <v>140</v>
      </c>
      <c r="J43" s="2" t="s">
        <v>185</v>
      </c>
      <c r="K43" s="2"/>
      <c r="T43" s="1" t="s">
        <v>81</v>
      </c>
      <c r="U43" s="1" t="s">
        <v>106</v>
      </c>
      <c r="V43" s="1">
        <v>1</v>
      </c>
      <c r="W43" s="1" t="s">
        <v>140</v>
      </c>
      <c r="X43" s="1" t="s">
        <v>185</v>
      </c>
    </row>
    <row r="44" spans="1:24" ht="14.25" thickBot="1" x14ac:dyDescent="0.25">
      <c r="A44" s="4">
        <v>5700</v>
      </c>
      <c r="B44" s="4" t="s">
        <v>1</v>
      </c>
      <c r="C44" s="3" t="s">
        <v>42</v>
      </c>
      <c r="D44" s="3">
        <v>70</v>
      </c>
      <c r="E44" s="3" t="s">
        <v>105</v>
      </c>
      <c r="F44" s="3" t="s">
        <v>96</v>
      </c>
      <c r="G44" s="3" t="s">
        <v>104</v>
      </c>
      <c r="H44" s="3">
        <v>1</v>
      </c>
      <c r="I44" s="2" t="s">
        <v>140</v>
      </c>
      <c r="J44" s="2" t="s">
        <v>185</v>
      </c>
      <c r="K44" s="2"/>
      <c r="T44" s="1" t="s">
        <v>96</v>
      </c>
      <c r="U44" s="1" t="s">
        <v>104</v>
      </c>
      <c r="V44" s="1">
        <v>1</v>
      </c>
      <c r="W44" s="1" t="s">
        <v>140</v>
      </c>
      <c r="X44" s="1" t="s">
        <v>185</v>
      </c>
    </row>
    <row r="45" spans="1:24" ht="14.25" thickBot="1" x14ac:dyDescent="0.25">
      <c r="A45" s="4">
        <v>5700</v>
      </c>
      <c r="B45" s="4" t="s">
        <v>1</v>
      </c>
      <c r="C45" s="3" t="s">
        <v>42</v>
      </c>
      <c r="D45" s="3">
        <v>75</v>
      </c>
      <c r="E45" s="3" t="s">
        <v>103</v>
      </c>
      <c r="F45" s="3" t="s">
        <v>91</v>
      </c>
      <c r="G45" s="3" t="s">
        <v>102</v>
      </c>
      <c r="H45" s="3">
        <v>1</v>
      </c>
      <c r="I45" s="2" t="s">
        <v>140</v>
      </c>
      <c r="J45" s="2" t="s">
        <v>185</v>
      </c>
      <c r="K45" s="2"/>
      <c r="T45" s="1" t="s">
        <v>91</v>
      </c>
      <c r="U45" s="1" t="s">
        <v>102</v>
      </c>
      <c r="V45" s="1">
        <v>1</v>
      </c>
      <c r="W45" s="1" t="s">
        <v>140</v>
      </c>
      <c r="X45" s="1" t="s">
        <v>185</v>
      </c>
    </row>
    <row r="46" spans="1:24" ht="14.25" thickBot="1" x14ac:dyDescent="0.25">
      <c r="A46" s="4">
        <v>5700</v>
      </c>
      <c r="B46" s="4" t="s">
        <v>1</v>
      </c>
      <c r="C46" s="3" t="s">
        <v>43</v>
      </c>
      <c r="D46" s="3">
        <v>65</v>
      </c>
      <c r="E46" s="3" t="s">
        <v>101</v>
      </c>
      <c r="F46" s="3" t="s">
        <v>91</v>
      </c>
      <c r="G46" s="3" t="s">
        <v>100</v>
      </c>
      <c r="H46" s="3">
        <v>1</v>
      </c>
      <c r="I46" s="2" t="s">
        <v>140</v>
      </c>
      <c r="J46" s="2" t="s">
        <v>185</v>
      </c>
      <c r="K46" s="2"/>
      <c r="T46" s="1" t="s">
        <v>91</v>
      </c>
      <c r="U46" s="1" t="s">
        <v>100</v>
      </c>
      <c r="V46" s="1">
        <v>1</v>
      </c>
      <c r="W46" s="1" t="s">
        <v>140</v>
      </c>
      <c r="X46" s="1" t="s">
        <v>185</v>
      </c>
    </row>
    <row r="47" spans="1:24" ht="14.25" thickBot="1" x14ac:dyDescent="0.25">
      <c r="A47" s="4">
        <v>5700</v>
      </c>
      <c r="B47" s="4" t="s">
        <v>1</v>
      </c>
      <c r="C47" s="3" t="s">
        <v>44</v>
      </c>
      <c r="D47" s="3" t="s">
        <v>45</v>
      </c>
      <c r="E47" s="3" t="s">
        <v>99</v>
      </c>
      <c r="F47" s="3" t="s">
        <v>84</v>
      </c>
      <c r="G47" s="3" t="s">
        <v>83</v>
      </c>
      <c r="H47" s="3">
        <v>1</v>
      </c>
      <c r="I47" s="2" t="s">
        <v>140</v>
      </c>
      <c r="J47" s="2" t="s">
        <v>185</v>
      </c>
      <c r="K47" s="2"/>
      <c r="T47" s="1" t="s">
        <v>84</v>
      </c>
      <c r="U47" s="1" t="s">
        <v>83</v>
      </c>
      <c r="V47" s="1">
        <v>1</v>
      </c>
      <c r="W47" s="1" t="s">
        <v>140</v>
      </c>
      <c r="X47" s="1" t="s">
        <v>185</v>
      </c>
    </row>
    <row r="48" spans="1:24" ht="14.25" thickBot="1" x14ac:dyDescent="0.25">
      <c r="A48" s="4">
        <v>5700</v>
      </c>
      <c r="B48" s="4" t="s">
        <v>1</v>
      </c>
      <c r="C48" s="3" t="s">
        <v>46</v>
      </c>
      <c r="D48" s="3">
        <v>85</v>
      </c>
      <c r="E48" s="3" t="s">
        <v>98</v>
      </c>
      <c r="F48" s="3" t="s">
        <v>84</v>
      </c>
      <c r="G48" s="3" t="s">
        <v>83</v>
      </c>
      <c r="H48" s="3">
        <v>1</v>
      </c>
      <c r="I48" s="2" t="s">
        <v>140</v>
      </c>
      <c r="J48" s="2" t="s">
        <v>185</v>
      </c>
      <c r="K48" s="2"/>
      <c r="T48" s="1" t="s">
        <v>84</v>
      </c>
      <c r="U48" s="1" t="s">
        <v>83</v>
      </c>
      <c r="V48" s="1">
        <v>1</v>
      </c>
      <c r="W48" s="1" t="s">
        <v>140</v>
      </c>
      <c r="X48" s="1" t="s">
        <v>185</v>
      </c>
    </row>
    <row r="49" spans="1:24" ht="14.25" thickBot="1" x14ac:dyDescent="0.25">
      <c r="A49" s="4">
        <v>5700</v>
      </c>
      <c r="B49" s="4" t="s">
        <v>1</v>
      </c>
      <c r="C49" s="3" t="s">
        <v>47</v>
      </c>
      <c r="D49" s="3">
        <v>95</v>
      </c>
      <c r="E49" s="3" t="s">
        <v>97</v>
      </c>
      <c r="F49" s="3" t="s">
        <v>96</v>
      </c>
      <c r="G49" s="3" t="s">
        <v>95</v>
      </c>
      <c r="H49" s="3">
        <v>1</v>
      </c>
      <c r="I49" s="2" t="s">
        <v>140</v>
      </c>
      <c r="J49" s="2" t="s">
        <v>185</v>
      </c>
      <c r="K49" s="2"/>
      <c r="T49" s="1" t="s">
        <v>96</v>
      </c>
      <c r="U49" s="1" t="s">
        <v>95</v>
      </c>
      <c r="V49" s="1">
        <v>1</v>
      </c>
      <c r="W49" s="1" t="s">
        <v>140</v>
      </c>
      <c r="X49" s="1" t="s">
        <v>185</v>
      </c>
    </row>
    <row r="50" spans="1:24" ht="14.25" thickBot="1" x14ac:dyDescent="0.25">
      <c r="A50" s="4">
        <v>5700</v>
      </c>
      <c r="B50" s="4" t="s">
        <v>1</v>
      </c>
      <c r="C50" s="3" t="s">
        <v>47</v>
      </c>
      <c r="D50" s="3">
        <v>100</v>
      </c>
      <c r="E50" s="3" t="s">
        <v>94</v>
      </c>
      <c r="F50" s="3" t="s">
        <v>91</v>
      </c>
      <c r="G50" s="3" t="s">
        <v>93</v>
      </c>
      <c r="H50" s="3">
        <v>1</v>
      </c>
      <c r="I50" s="2" t="s">
        <v>140</v>
      </c>
      <c r="J50" s="2" t="s">
        <v>185</v>
      </c>
      <c r="K50" s="2"/>
      <c r="T50" s="1" t="s">
        <v>91</v>
      </c>
      <c r="U50" s="1" t="s">
        <v>93</v>
      </c>
      <c r="V50" s="1">
        <v>1</v>
      </c>
      <c r="W50" s="1" t="s">
        <v>140</v>
      </c>
      <c r="X50" s="1" t="s">
        <v>185</v>
      </c>
    </row>
    <row r="51" spans="1:24" ht="14.25" thickBot="1" x14ac:dyDescent="0.25">
      <c r="A51" s="4">
        <v>5700</v>
      </c>
      <c r="B51" s="4" t="s">
        <v>1</v>
      </c>
      <c r="C51" s="3" t="s">
        <v>48</v>
      </c>
      <c r="D51" s="3">
        <v>95</v>
      </c>
      <c r="E51" s="3" t="s">
        <v>92</v>
      </c>
      <c r="F51" s="3" t="s">
        <v>91</v>
      </c>
      <c r="G51" s="3" t="s">
        <v>90</v>
      </c>
      <c r="H51" s="3">
        <v>1</v>
      </c>
      <c r="I51" s="2" t="s">
        <v>140</v>
      </c>
      <c r="J51" s="2" t="s">
        <v>185</v>
      </c>
      <c r="K51" s="2"/>
      <c r="T51" s="1" t="s">
        <v>91</v>
      </c>
      <c r="U51" s="1" t="s">
        <v>90</v>
      </c>
      <c r="V51" s="1">
        <v>1</v>
      </c>
      <c r="W51" s="1" t="s">
        <v>140</v>
      </c>
      <c r="X51" s="1" t="s">
        <v>185</v>
      </c>
    </row>
    <row r="52" spans="1:24" ht="14.25" thickBot="1" x14ac:dyDescent="0.25">
      <c r="A52" s="4">
        <v>5700</v>
      </c>
      <c r="B52" s="4" t="s">
        <v>1</v>
      </c>
      <c r="C52" s="3" t="s">
        <v>49</v>
      </c>
      <c r="D52" s="3">
        <v>90</v>
      </c>
      <c r="E52" s="3" t="s">
        <v>89</v>
      </c>
      <c r="F52" s="3" t="s">
        <v>84</v>
      </c>
      <c r="G52" s="3" t="s">
        <v>88</v>
      </c>
      <c r="H52" s="3">
        <v>2</v>
      </c>
      <c r="I52" s="2" t="s">
        <v>140</v>
      </c>
      <c r="J52" s="2" t="s">
        <v>185</v>
      </c>
      <c r="K52" s="2"/>
      <c r="T52" s="1" t="s">
        <v>84</v>
      </c>
      <c r="U52" s="1" t="s">
        <v>88</v>
      </c>
      <c r="V52" s="1">
        <v>2</v>
      </c>
      <c r="W52" s="1" t="s">
        <v>140</v>
      </c>
      <c r="X52" s="1" t="s">
        <v>185</v>
      </c>
    </row>
    <row r="53" spans="1:24" ht="14.25" thickBot="1" x14ac:dyDescent="0.25">
      <c r="A53" s="4">
        <v>5700</v>
      </c>
      <c r="B53" s="4" t="s">
        <v>1</v>
      </c>
      <c r="C53" s="3" t="s">
        <v>50</v>
      </c>
      <c r="D53" s="3" t="s">
        <v>45</v>
      </c>
      <c r="E53" s="3" t="s">
        <v>87</v>
      </c>
      <c r="F53" s="3" t="s">
        <v>84</v>
      </c>
      <c r="G53" s="3" t="s">
        <v>83</v>
      </c>
      <c r="H53" s="3">
        <v>1</v>
      </c>
      <c r="I53" s="2" t="s">
        <v>140</v>
      </c>
      <c r="J53" s="2" t="s">
        <v>185</v>
      </c>
      <c r="K53" s="2"/>
      <c r="T53" s="1" t="s">
        <v>84</v>
      </c>
      <c r="U53" s="1" t="s">
        <v>83</v>
      </c>
      <c r="V53" s="1">
        <v>1</v>
      </c>
      <c r="W53" s="1" t="s">
        <v>140</v>
      </c>
      <c r="X53" s="1" t="s">
        <v>185</v>
      </c>
    </row>
    <row r="54" spans="1:24" ht="14.25" thickBot="1" x14ac:dyDescent="0.25">
      <c r="A54" s="4">
        <v>5700</v>
      </c>
      <c r="B54" s="4" t="s">
        <v>1</v>
      </c>
      <c r="C54" s="3" t="s">
        <v>51</v>
      </c>
      <c r="D54" s="3">
        <v>85</v>
      </c>
      <c r="E54" s="3" t="s">
        <v>86</v>
      </c>
      <c r="F54" s="3" t="s">
        <v>84</v>
      </c>
      <c r="G54" s="3" t="s">
        <v>83</v>
      </c>
      <c r="H54" s="3">
        <v>1</v>
      </c>
      <c r="I54" s="2" t="s">
        <v>140</v>
      </c>
      <c r="J54" s="2" t="s">
        <v>185</v>
      </c>
      <c r="K54" s="2"/>
      <c r="T54" s="1" t="s">
        <v>84</v>
      </c>
      <c r="U54" s="1" t="s">
        <v>83</v>
      </c>
      <c r="V54" s="1">
        <v>1</v>
      </c>
      <c r="W54" s="1" t="s">
        <v>140</v>
      </c>
      <c r="X54" s="1" t="s">
        <v>185</v>
      </c>
    </row>
    <row r="55" spans="1:24" ht="14.25" thickBot="1" x14ac:dyDescent="0.25">
      <c r="A55" s="4">
        <v>5700</v>
      </c>
      <c r="B55" s="4" t="s">
        <v>1</v>
      </c>
      <c r="C55" s="3" t="s">
        <v>52</v>
      </c>
      <c r="D55" s="3" t="s">
        <v>53</v>
      </c>
      <c r="E55" s="3" t="s">
        <v>85</v>
      </c>
      <c r="F55" s="3" t="s">
        <v>84</v>
      </c>
      <c r="G55" s="3" t="s">
        <v>83</v>
      </c>
      <c r="H55" s="3">
        <v>1</v>
      </c>
      <c r="I55" s="2" t="s">
        <v>140</v>
      </c>
      <c r="J55" s="2" t="s">
        <v>185</v>
      </c>
      <c r="K55" s="2"/>
      <c r="T55" s="1" t="s">
        <v>84</v>
      </c>
      <c r="U55" s="1" t="s">
        <v>83</v>
      </c>
      <c r="V55" s="1">
        <v>1</v>
      </c>
      <c r="W55" s="1" t="s">
        <v>140</v>
      </c>
      <c r="X55" s="1" t="s">
        <v>185</v>
      </c>
    </row>
    <row r="56" spans="1:24" ht="14.25" thickBot="1" x14ac:dyDescent="0.25">
      <c r="A56" s="4">
        <v>5700</v>
      </c>
      <c r="B56" s="4" t="s">
        <v>1</v>
      </c>
      <c r="C56" s="3" t="s">
        <v>54</v>
      </c>
      <c r="D56" s="3" t="s">
        <v>45</v>
      </c>
      <c r="E56" s="3" t="s">
        <v>82</v>
      </c>
      <c r="F56" s="3" t="s">
        <v>81</v>
      </c>
      <c r="G56" s="3" t="s">
        <v>80</v>
      </c>
      <c r="H56" s="3">
        <v>1</v>
      </c>
      <c r="I56" s="2" t="s">
        <v>140</v>
      </c>
      <c r="J56" s="2" t="s">
        <v>185</v>
      </c>
      <c r="K56" s="2"/>
      <c r="T56" s="1" t="s">
        <v>81</v>
      </c>
      <c r="U56" s="1" t="s">
        <v>80</v>
      </c>
      <c r="V56" s="1">
        <v>1</v>
      </c>
      <c r="W56" s="1" t="s">
        <v>140</v>
      </c>
      <c r="X56" s="1" t="s">
        <v>185</v>
      </c>
    </row>
  </sheetData>
  <autoFilter ref="A1:K1" xr:uid="{AA2541D3-F44B-4160-A6E4-A0351AC8A940}"/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전월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서병우/KS 채널관리팀/FnC</cp:lastModifiedBy>
  <cp:revision>1</cp:revision>
  <dcterms:created xsi:type="dcterms:W3CDTF">2026-01-06T06:35:21Z</dcterms:created>
  <dcterms:modified xsi:type="dcterms:W3CDTF">2026-02-05T02:33:29Z</dcterms:modified>
  <cp:category/>
</cp:coreProperties>
</file>